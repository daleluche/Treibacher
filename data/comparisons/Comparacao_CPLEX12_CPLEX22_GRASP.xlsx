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 Geral" sheetId="1" state="visible" r:id="rId3"/>
    <sheet name="2X" sheetId="2" state="visible" r:id="rId4"/>
    <sheet name="3X" sheetId="3" state="visible" r:id="rId5"/>
    <sheet name="4X" sheetId="4" state="visible" r:id="rId6"/>
    <sheet name="5X" sheetId="5" state="visible" r:id="rId7"/>
    <sheet name="Real" sheetId="6" state="visible" r:id="rId8"/>
    <sheet name="Análise GRASP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<sst xmlns="http://schemas.openxmlformats.org/spreadsheetml/2006/main" count="481" uniqueCount="141">
  <si>
    <t xml:space="preserve">Comparação de Resultados — CPLEX 12  ·  CPLEX 22 (GAMSPy)  ·  GRASP/Tabu/PR  ·  Problema de Seleção de Processos</t>
  </si>
  <si>
    <t xml:space="preserve">PSP — Indústria de Grãos Eletrofundidos  ·  5 conjuntos × 10 instâncias  ·  GRASP: 10 runs × 30 min por instância</t>
  </si>
  <si>
    <t xml:space="preserve">Instâncias</t>
  </si>
  <si>
    <t xml:space="preserve">CPLEX 12</t>
  </si>
  <si>
    <t xml:space="preserve">CPLEX 22 / GAMSPy  (TL=3h)</t>
  </si>
  <si>
    <t xml:space="preserve">GRASP + Tabu + Path Relinking (10 runs × 30 min)</t>
  </si>
  <si>
    <t xml:space="preserve">Análise de Gap GRASP</t>
  </si>
  <si>
    <t xml:space="preserve">Conjunto</t>
  </si>
  <si>
    <t xml:space="preserve">n</t>
  </si>
  <si>
    <t xml:space="preserve">n CPLEX22</t>
  </si>
  <si>
    <t xml:space="preserve">Z̄ CPLEX12
@5min</t>
  </si>
  <si>
    <t xml:space="preserve">Z̄ CPLEX12
@1h</t>
  </si>
  <si>
    <t xml:space="preserve">Z̄ CPLEX22</t>
  </si>
  <si>
    <t xml:space="preserve">Zmín CPLEX22</t>
  </si>
  <si>
    <t xml:space="preserve">Gap MIP̄
CPLEX22 (%)</t>
  </si>
  <si>
    <t xml:space="preserve">Status
CPLEX22</t>
  </si>
  <si>
    <t xml:space="preserve">Zbest̄
GRASP</t>
  </si>
  <si>
    <t xml:space="preserve">Zbest_mín
GRASP</t>
  </si>
  <si>
    <t xml:space="preserve">Zmean̄
GRASP</t>
  </si>
  <si>
    <t xml:space="preserve">CV̄ (%)</t>
  </si>
  <si>
    <t xml:space="preserve">t2best̄ (s)</t>
  </si>
  <si>
    <t xml:space="preserve">Δ GRASP–CPLEX22
médio (%)</t>
  </si>
  <si>
    <t xml:space="preserve">Δ GRASP–CPLEX22
máx (%)</t>
  </si>
  <si>
    <t xml:space="preserve">Δ GRASP–CPLEX22
mín (%)</t>
  </si>
  <si>
    <t xml:space="preserve">Δ GRASP–CPLEX12@1h
médio (%)</t>
  </si>
  <si>
    <t xml:space="preserve">Avaliação
GRASP</t>
  </si>
  <si>
    <t xml:space="preserve">2X  (T=38)</t>
  </si>
  <si>
    <t xml:space="preserve">Todos Ótimo Global</t>
  </si>
  <si>
    <t xml:space="preserve">✗ Insuficiente</t>
  </si>
  <si>
    <t xml:space="preserve">3X  (T=57)</t>
  </si>
  <si>
    <t xml:space="preserve">0 Ótimos, 7 TL, 3 N/D</t>
  </si>
  <si>
    <t xml:space="preserve">4X  (T=76)</t>
  </si>
  <si>
    <t xml:space="preserve">Todos Inteiro Fact. (TL)</t>
  </si>
  <si>
    <t xml:space="preserve">5X  (T=95)</t>
  </si>
  <si>
    <t xml:space="preserve">Real (Aleat.)</t>
  </si>
  <si>
    <t xml:space="preserve">✓ Bom</t>
  </si>
  <si>
    <t xml:space="preserve">Média Geral</t>
  </si>
  <si>
    <t xml:space="preserve">⚠  Notas: Δ = (Z_GRASP_best − Z_CPLEX) / Z_CPLEX × 100%.  Valores negativos em instâncias Real indicam possível divergência de formulação — ver análise detalhada.  TL = Time Limit atingido.</t>
  </si>
  <si>
    <t xml:space="preserve">Comparação de Resultados  ·  Conjunto 2X  (T=38)  ·  CPLEX 12  ×  CPLEX 22 (GAMSPy)  ×  GRASP/Tabu/PR</t>
  </si>
  <si>
    <t xml:space="preserve">Inst</t>
  </si>
  <si>
    <t xml:space="preserve">T</t>
  </si>
  <si>
    <t xml:space="preserve">J</t>
  </si>
  <si>
    <t xml:space="preserve">CPLEX 22</t>
  </si>
  <si>
    <t xml:space="preserve">GRASP</t>
  </si>
  <si>
    <t xml:space="preserve">Δ GRASP</t>
  </si>
  <si>
    <t xml:space="preserve">Avaliação</t>
  </si>
  <si>
    <t xml:space="preserve">#</t>
  </si>
  <si>
    <t xml:space="preserve">(períodos)</t>
  </si>
  <si>
    <t xml:space="preserve">(processos)</t>
  </si>
  <si>
    <t xml:space="preserve">Z @5min</t>
  </si>
  <si>
    <t xml:space="preserve">Z @1h</t>
  </si>
  <si>
    <t xml:space="preserve">Z (obj)</t>
  </si>
  <si>
    <t xml:space="preserve">Bound</t>
  </si>
  <si>
    <t xml:space="preserve">Gap MIP (%)</t>
  </si>
  <si>
    <t xml:space="preserve">Status</t>
  </si>
  <si>
    <t xml:space="preserve">Zbest</t>
  </si>
  <si>
    <t xml:space="preserve">Zmean</t>
  </si>
  <si>
    <t xml:space="preserve">Zstd</t>
  </si>
  <si>
    <t xml:space="preserve">Zworst</t>
  </si>
  <si>
    <t xml:space="preserve">CV (%)</t>
  </si>
  <si>
    <t xml:space="preserve">Runs</t>
  </si>
  <si>
    <t xml:space="preserve">t2best_best (s)</t>
  </si>
  <si>
    <t xml:space="preserve">t2best_mean (s)</t>
  </si>
  <si>
    <t xml:space="preserve">Iters_mean</t>
  </si>
  <si>
    <t xml:space="preserve">vs CPLEX22 (%)</t>
  </si>
  <si>
    <t xml:space="preserve">vs CPLEX12@1h (%)</t>
  </si>
  <si>
    <t xml:space="preserve">vs MIP Bound (%)</t>
  </si>
  <si>
    <t xml:space="preserve">Ótimo Global</t>
  </si>
  <si>
    <t xml:space="preserve">△ Regular</t>
  </si>
  <si>
    <t xml:space="preserve">✅ Excelente</t>
  </si>
  <si>
    <t xml:space="preserve">Média</t>
  </si>
  <si>
    <t xml:space="preserve">* Δ GRASP vs CPLEX22 = (Zbest_GRASP − Zobj_CPLEX22) / Zobj_CPLEX22 × 100%.  Valores negativos indicam possível divergência de formulação (solução GRASP infactível ou cálculo diferente da f.o.).  CPLEX 22: TL = 3h; GRASP: 30 min × 10 runs.</t>
  </si>
  <si>
    <t xml:space="preserve">Comparação de Resultados  ·  Conjunto 3X  (T=57)  ·  CPLEX 12  ×  CPLEX 22 (GAMSPy)  ×  GRASP/Tabu/PR</t>
  </si>
  <si>
    <t xml:space="preserve">Inteiro Fact. (TL)</t>
  </si>
  <si>
    <t xml:space="preserve">—</t>
  </si>
  <si>
    <t xml:space="preserve">Comparação de Resultados  ·  Conjunto 4X  (T=76)  ·  CPLEX 12  ×  CPLEX 22 (GAMSPy)  ×  GRASP/Tabu/PR</t>
  </si>
  <si>
    <t xml:space="preserve">Comparação de Resultados  ·  Conjunto 5X  (T=95)  ·  CPLEX 12  ×  CPLEX 22 (GAMSPy)  ×  GRASP/Tabu/PR</t>
  </si>
  <si>
    <t xml:space="preserve">Comparação de Resultados  ·  Conjunto Real (Aleat.)  ·  CPLEX 12  ×  CPLEX 22 (GAMSPy)  ×  GRASP/Tabu/PR</t>
  </si>
  <si>
    <t xml:space="preserve">⚠ Anômalo</t>
  </si>
  <si>
    <t xml:space="preserve">Análise de Desempenho do GRASP + Tabu Search + Path Relinking — Diagnóstico por Instância</t>
  </si>
  <si>
    <t xml:space="preserve">Instância</t>
  </si>
  <si>
    <t xml:space="preserve">Zbest
GRASP</t>
  </si>
  <si>
    <t xml:space="preserve">Zmean
GRASP</t>
  </si>
  <si>
    <t xml:space="preserve">Δ vs
CPLEX22 (%)</t>
  </si>
  <si>
    <t xml:space="preserve">t2best_best
(s)</t>
  </si>
  <si>
    <t xml:space="preserve"># Runs
Completos</t>
  </si>
  <si>
    <t xml:space="preserve">2X</t>
  </si>
  <si>
    <t xml:space="preserve">IncT2X_1</t>
  </si>
  <si>
    <t xml:space="preserve">IncT2X_2</t>
  </si>
  <si>
    <t xml:space="preserve">IncT2X_3</t>
  </si>
  <si>
    <t xml:space="preserve">IncT2X_4</t>
  </si>
  <si>
    <t xml:space="preserve">IncT2X_5</t>
  </si>
  <si>
    <t xml:space="preserve">IncT2X_6</t>
  </si>
  <si>
    <t xml:space="preserve">IncT2X_7</t>
  </si>
  <si>
    <t xml:space="preserve">IncT2X_8</t>
  </si>
  <si>
    <t xml:space="preserve">IncT2X_9</t>
  </si>
  <si>
    <t xml:space="preserve">IncT2X_10</t>
  </si>
  <si>
    <t xml:space="preserve">3X</t>
  </si>
  <si>
    <t xml:space="preserve">IncT3x_1</t>
  </si>
  <si>
    <t xml:space="preserve">IncT3x_2</t>
  </si>
  <si>
    <t xml:space="preserve">IncT3x_3</t>
  </si>
  <si>
    <t xml:space="preserve">IncT3x_4</t>
  </si>
  <si>
    <t xml:space="preserve">IncT3x_5</t>
  </si>
  <si>
    <t xml:space="preserve">IncT3x_6</t>
  </si>
  <si>
    <t xml:space="preserve">IncT3x_7</t>
  </si>
  <si>
    <t xml:space="preserve">IncT3x_8</t>
  </si>
  <si>
    <t xml:space="preserve">IncT3x_9</t>
  </si>
  <si>
    <t xml:space="preserve">IncT3x_10</t>
  </si>
  <si>
    <t xml:space="preserve">4X</t>
  </si>
  <si>
    <t xml:space="preserve">IncT4x_1</t>
  </si>
  <si>
    <t xml:space="preserve">IncT4x_2</t>
  </si>
  <si>
    <t xml:space="preserve">IncT4x_3</t>
  </si>
  <si>
    <t xml:space="preserve">IncT4x_4</t>
  </si>
  <si>
    <t xml:space="preserve">IncT4x_5</t>
  </si>
  <si>
    <t xml:space="preserve">IncT4x_6</t>
  </si>
  <si>
    <t xml:space="preserve">IncT4x_7</t>
  </si>
  <si>
    <t xml:space="preserve">IncT4x_8</t>
  </si>
  <si>
    <t xml:space="preserve">IncT4x_9</t>
  </si>
  <si>
    <t xml:space="preserve">IncT4x_10</t>
  </si>
  <si>
    <t xml:space="preserve">5X</t>
  </si>
  <si>
    <t xml:space="preserve">IncT5x_1</t>
  </si>
  <si>
    <t xml:space="preserve">IncT5x_2</t>
  </si>
  <si>
    <t xml:space="preserve">IncT5x_3</t>
  </si>
  <si>
    <t xml:space="preserve">IncT5x_4</t>
  </si>
  <si>
    <t xml:space="preserve">IncT5x_5</t>
  </si>
  <si>
    <t xml:space="preserve">IncT5x_6</t>
  </si>
  <si>
    <t xml:space="preserve">IncT5x_7</t>
  </si>
  <si>
    <t xml:space="preserve">IncT5x_8</t>
  </si>
  <si>
    <t xml:space="preserve">IncT5x_9</t>
  </si>
  <si>
    <t xml:space="preserve">IncT5x_10</t>
  </si>
  <si>
    <t xml:space="preserve">Real</t>
  </si>
  <si>
    <t xml:space="preserve">Ale_1</t>
  </si>
  <si>
    <t xml:space="preserve">Ale_2</t>
  </si>
  <si>
    <t xml:space="preserve">Ale_3</t>
  </si>
  <si>
    <t xml:space="preserve">Ale_4</t>
  </si>
  <si>
    <t xml:space="preserve">Ale_5</t>
  </si>
  <si>
    <t xml:space="preserve">Ale_6</t>
  </si>
  <si>
    <t xml:space="preserve">Ale_7</t>
  </si>
  <si>
    <t xml:space="preserve">Ale_8</t>
  </si>
  <si>
    <t xml:space="preserve">Ale_9</t>
  </si>
  <si>
    <t xml:space="preserve">Ale_10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</si>
</sst>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#,##0.00"/>
    <numFmt numFmtId="167" formatCode="0.00%"/>
    <numFmt numFmtId="168" formatCode="0.0%"/>
    <numFmt numFmtId="169" formatCode="#,##0.0"/>
    <numFmt numFmtId="170" formatCode="\+0.0%;\-0.0%;\—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libri"/>
      <family val="0"/>
      <charset val="1"/>
    </font>
    <font>
      <i val="true"/>
      <sz val="10"/>
      <color rgb="FF444444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9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9"/>
      <color rgb="FF555555"/>
      <name val="Calibri"/>
      <family val="0"/>
      <charset val="1"/>
    </font>
    <font>
      <b val="true"/>
      <sz val="12"/>
      <color rgb="FFFFFFFF"/>
      <name val="Calibri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EF2F8"/>
        <bgColor rgb="FFF2F2F2"/>
      </patternFill>
    </fill>
    <fill>
      <patternFill patternType="solid">
        <fgColor rgb="FFD9D9D9"/>
        <bgColor rgb="FFC9D8F0"/>
      </patternFill>
    </fill>
    <fill>
      <patternFill patternType="solid">
        <fgColor rgb="FFC9D8F0"/>
        <bgColor rgb="FFD9D9D9"/>
      </patternFill>
    </fill>
    <fill>
      <patternFill patternType="solid">
        <fgColor rgb="FFC6EFCE"/>
        <bgColor rgb="FFE2EFDA"/>
      </patternFill>
    </fill>
    <fill>
      <patternFill patternType="solid">
        <fgColor rgb="FFFCE4D6"/>
        <bgColor rgb="FFF2F2F2"/>
      </patternFill>
    </fill>
    <fill>
      <patternFill patternType="solid">
        <fgColor rgb="FFF2F2F2"/>
        <bgColor rgb="FFEEF2F8"/>
      </patternFill>
    </fill>
    <fill>
      <patternFill patternType="solid">
        <fgColor rgb="FFFFFFFF"/>
        <bgColor rgb="FFF5F8FF"/>
      </patternFill>
    </fill>
    <fill>
      <patternFill patternType="solid">
        <fgColor rgb="FFFFC7CE"/>
        <bgColor rgb="FFFCE4D6"/>
      </patternFill>
    </fill>
    <fill>
      <patternFill patternType="solid">
        <fgColor rgb="FFF5F8FF"/>
        <bgColor rgb="FFF5F7FF"/>
      </patternFill>
    </fill>
    <fill>
      <patternFill patternType="solid">
        <fgColor rgb="FFE2EFDA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FFEB9C"/>
        <bgColor rgb="FFFCE4D6"/>
      </patternFill>
    </fill>
    <fill>
      <patternFill patternType="solid">
        <fgColor rgb="FF7030A0"/>
        <bgColor rgb="FF993366"/>
      </patternFill>
    </fill>
    <fill>
      <patternFill patternType="solid">
        <fgColor rgb="FFD9B3FF"/>
        <bgColor rgb="FFC9D8F0"/>
      </patternFill>
    </fill>
    <fill>
      <patternFill patternType="solid">
        <fgColor rgb="FFF5F7FF"/>
        <bgColor rgb="FFF5F8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6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8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6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8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6" fillId="1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6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1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1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1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1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1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5F8FF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7030A0"/>
      <rgbColor rgb="FFF2F2F2"/>
      <rgbColor rgb="FFE2EFDA"/>
      <rgbColor rgb="FF660066"/>
      <rgbColor rgb="FFFF8080"/>
      <rgbColor rgb="FF0066CC"/>
      <rgbColor rgb="FFC9D8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8"/>
      <rgbColor rgb="FFC6EFCE"/>
      <rgbColor rgb="FFFFEB9C"/>
      <rgbColor rgb="FFF5F7FF"/>
      <rgbColor rgb="FFFCE4D6"/>
      <rgbColor rgb="FFD9B3FF"/>
      <rgbColor rgb="FFFFC7CE"/>
      <rgbColor rgb="FF2E75B6"/>
      <rgbColor rgb="FF33CCCC"/>
      <rgbColor rgb="FF99CC00"/>
      <rgbColor rgb="FFFFCC00"/>
      <rgbColor rgb="FFFF9900"/>
      <rgbColor rgb="FFFF6600"/>
      <rgbColor rgb="FF555555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5"/>
    <col collapsed="false" customWidth="true" hidden="false" outlineLevel="0" max="3" min="3" style="1" width="9"/>
    <col collapsed="false" customWidth="true" hidden="false" outlineLevel="0" max="6" min="4" style="1" width="14"/>
    <col collapsed="false" customWidth="true" hidden="false" outlineLevel="0" max="8" min="7" style="1" width="12"/>
    <col collapsed="false" customWidth="true" hidden="false" outlineLevel="0" max="9" min="9" style="1" width="15"/>
    <col collapsed="false" customWidth="true" hidden="false" outlineLevel="0" max="10" min="10" style="1" width="13"/>
    <col collapsed="false" customWidth="true" hidden="false" outlineLevel="0" max="11" min="11" style="1" width="12"/>
    <col collapsed="false" customWidth="true" hidden="false" outlineLevel="0" max="12" min="12" style="1" width="13"/>
    <col collapsed="false" customWidth="true" hidden="false" outlineLevel="0" max="13" min="13" style="1" width="9"/>
    <col collapsed="false" customWidth="true" hidden="false" outlineLevel="0" max="14" min="14" style="1" width="11"/>
    <col collapsed="false" customWidth="true" hidden="false" outlineLevel="0" max="15" min="15" style="1" width="15"/>
    <col collapsed="false" customWidth="true" hidden="false" outlineLevel="0" max="17" min="16" style="1" width="14"/>
    <col collapsed="false" customWidth="true" hidden="false" outlineLevel="0" max="18" min="18" style="1" width="17"/>
    <col collapsed="false" customWidth="true" hidden="false" outlineLevel="0" max="19" min="19" style="1" width="14"/>
  </cols>
  <sheetData>
    <row r="1" customFormat="false" ht="24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customFormat="false" ht="7.5" hidden="false" customHeight="true" outlineLevel="0" collapsed="false"/>
    <row r="4" customFormat="false" ht="15.75" hidden="false" customHeight="true" outlineLevel="0" collapsed="false">
      <c r="A4" s="4" t="s">
        <v>2</v>
      </c>
      <c r="B4" s="4"/>
      <c r="C4" s="4"/>
      <c r="D4" s="5" t="s">
        <v>3</v>
      </c>
      <c r="E4" s="5"/>
      <c r="F4" s="6" t="s">
        <v>4</v>
      </c>
      <c r="G4" s="6"/>
      <c r="H4" s="6"/>
      <c r="I4" s="6"/>
      <c r="J4" s="7" t="s">
        <v>5</v>
      </c>
      <c r="K4" s="7"/>
      <c r="L4" s="7"/>
      <c r="M4" s="7"/>
      <c r="N4" s="7"/>
      <c r="O4" s="8" t="s">
        <v>6</v>
      </c>
      <c r="P4" s="8"/>
      <c r="Q4" s="8"/>
      <c r="R4" s="8"/>
      <c r="S4" s="8"/>
    </row>
    <row r="5" customFormat="false" ht="30" hidden="false" customHeight="true" outlineLevel="0" collapsed="false">
      <c r="A5" s="9" t="s">
        <v>7</v>
      </c>
      <c r="B5" s="9" t="s">
        <v>8</v>
      </c>
      <c r="C5" s="9" t="s">
        <v>9</v>
      </c>
      <c r="D5" s="9" t="s">
        <v>10</v>
      </c>
      <c r="E5" s="9" t="s">
        <v>11</v>
      </c>
      <c r="F5" s="9" t="s">
        <v>12</v>
      </c>
      <c r="G5" s="9" t="s">
        <v>13</v>
      </c>
      <c r="H5" s="9" t="s">
        <v>14</v>
      </c>
      <c r="I5" s="9" t="s">
        <v>15</v>
      </c>
      <c r="J5" s="9" t="s">
        <v>16</v>
      </c>
      <c r="K5" s="9" t="s">
        <v>17</v>
      </c>
      <c r="L5" s="9" t="s">
        <v>18</v>
      </c>
      <c r="M5" s="9" t="s">
        <v>19</v>
      </c>
      <c r="N5" s="9" t="s">
        <v>20</v>
      </c>
      <c r="O5" s="9" t="s">
        <v>21</v>
      </c>
      <c r="P5" s="9" t="s">
        <v>22</v>
      </c>
      <c r="Q5" s="9" t="s">
        <v>23</v>
      </c>
      <c r="R5" s="9" t="s">
        <v>24</v>
      </c>
      <c r="S5" s="9" t="s">
        <v>25</v>
      </c>
    </row>
    <row r="6" customFormat="false" ht="18" hidden="false" customHeight="true" outlineLevel="0" collapsed="false">
      <c r="A6" s="10" t="s">
        <v>26</v>
      </c>
      <c r="B6" s="11" t="n">
        <v>10</v>
      </c>
      <c r="C6" s="11" t="n">
        <v>10</v>
      </c>
      <c r="D6" s="12" t="n">
        <v>64393.9</v>
      </c>
      <c r="E6" s="12" t="n">
        <v>63881.7</v>
      </c>
      <c r="F6" s="12" t="n">
        <v>63780.1724</v>
      </c>
      <c r="G6" s="12" t="n">
        <v>8335.23</v>
      </c>
      <c r="H6" s="13" t="n">
        <v>0</v>
      </c>
      <c r="I6" s="14" t="s">
        <v>27</v>
      </c>
      <c r="J6" s="12" t="n">
        <v>75907.3762</v>
      </c>
      <c r="K6" s="12" t="n">
        <v>18195.091</v>
      </c>
      <c r="L6" s="12" t="n">
        <v>81621.365385</v>
      </c>
      <c r="M6" s="15" t="n">
        <v>0.0538352595816798</v>
      </c>
      <c r="N6" s="16" t="n">
        <v>799.79785</v>
      </c>
      <c r="O6" s="15" t="n">
        <v>0.358834305542255</v>
      </c>
      <c r="P6" s="15" t="n">
        <v>1.1829140887534</v>
      </c>
      <c r="Q6" s="15" t="n">
        <v>0.00617170621997089</v>
      </c>
      <c r="R6" s="15" t="n">
        <v>0.351431077095635</v>
      </c>
      <c r="S6" s="17" t="s">
        <v>28</v>
      </c>
    </row>
    <row r="7" customFormat="false" ht="18" hidden="false" customHeight="true" outlineLevel="0" collapsed="false">
      <c r="A7" s="18" t="s">
        <v>29</v>
      </c>
      <c r="B7" s="19" t="n">
        <v>10</v>
      </c>
      <c r="C7" s="19" t="n">
        <v>7</v>
      </c>
      <c r="D7" s="20" t="n">
        <v>74327.8</v>
      </c>
      <c r="E7" s="20" t="n">
        <v>68272.3</v>
      </c>
      <c r="F7" s="20" t="n">
        <v>65401.5358571428</v>
      </c>
      <c r="G7" s="20" t="n">
        <v>10914.378</v>
      </c>
      <c r="H7" s="21" t="n">
        <v>0.0106654600930377</v>
      </c>
      <c r="I7" s="22" t="s">
        <v>30</v>
      </c>
      <c r="J7" s="20" t="n">
        <v>88689.5884</v>
      </c>
      <c r="K7" s="20" t="n">
        <v>29129.277</v>
      </c>
      <c r="L7" s="20" t="n">
        <v>96470.78584</v>
      </c>
      <c r="M7" s="23" t="n">
        <v>0.0614941653547722</v>
      </c>
      <c r="N7" s="24" t="n">
        <v>842.8098</v>
      </c>
      <c r="O7" s="23" t="n">
        <v>0.529019203587208</v>
      </c>
      <c r="P7" s="23" t="n">
        <v>1.66889024734163</v>
      </c>
      <c r="Q7" s="23" t="n">
        <v>0.196868976617881</v>
      </c>
      <c r="R7" s="23" t="n">
        <v>0.492785765696082</v>
      </c>
      <c r="S7" s="17" t="s">
        <v>28</v>
      </c>
    </row>
    <row r="8" customFormat="false" ht="18" hidden="false" customHeight="true" outlineLevel="0" collapsed="false">
      <c r="A8" s="10" t="s">
        <v>31</v>
      </c>
      <c r="B8" s="11" t="n">
        <v>10</v>
      </c>
      <c r="C8" s="11" t="n">
        <v>10</v>
      </c>
      <c r="D8" s="12" t="n">
        <v>84150.6</v>
      </c>
      <c r="E8" s="12" t="n">
        <v>74134</v>
      </c>
      <c r="F8" s="12" t="n">
        <v>69841.9165</v>
      </c>
      <c r="G8" s="12" t="n">
        <v>13375.333</v>
      </c>
      <c r="H8" s="13" t="n">
        <v>0.0438812235453017</v>
      </c>
      <c r="I8" s="14" t="s">
        <v>32</v>
      </c>
      <c r="J8" s="12" t="n">
        <v>98031.2879</v>
      </c>
      <c r="K8" s="12" t="n">
        <v>36754.107</v>
      </c>
      <c r="L8" s="12" t="n">
        <v>108119.77105</v>
      </c>
      <c r="M8" s="15" t="n">
        <v>0.0626934089724127</v>
      </c>
      <c r="N8" s="16" t="n">
        <v>869.4038</v>
      </c>
      <c r="O8" s="15" t="n">
        <v>0.649436396678598</v>
      </c>
      <c r="P8" s="15" t="n">
        <v>1.74790220176201</v>
      </c>
      <c r="Q8" s="15" t="n">
        <v>0.216884197622511</v>
      </c>
      <c r="R8" s="15" t="n">
        <v>0.542543979150531</v>
      </c>
      <c r="S8" s="17" t="s">
        <v>28</v>
      </c>
    </row>
    <row r="9" customFormat="false" ht="18" hidden="false" customHeight="true" outlineLevel="0" collapsed="false">
      <c r="A9" s="18" t="s">
        <v>33</v>
      </c>
      <c r="B9" s="19" t="n">
        <v>10</v>
      </c>
      <c r="C9" s="19" t="n">
        <v>10</v>
      </c>
      <c r="D9" s="20" t="n">
        <v>108916.7</v>
      </c>
      <c r="E9" s="20" t="n">
        <v>78589.2</v>
      </c>
      <c r="F9" s="20" t="n">
        <v>73402.6709</v>
      </c>
      <c r="G9" s="20" t="n">
        <v>16964.09</v>
      </c>
      <c r="H9" s="21" t="n">
        <v>0.0835291575908741</v>
      </c>
      <c r="I9" s="22" t="s">
        <v>32</v>
      </c>
      <c r="J9" s="20" t="n">
        <v>111325.4716</v>
      </c>
      <c r="K9" s="20" t="n">
        <v>50024.776</v>
      </c>
      <c r="L9" s="20" t="n">
        <v>121315.28115</v>
      </c>
      <c r="M9" s="23" t="n">
        <v>0.0577307458782473</v>
      </c>
      <c r="N9" s="24" t="n">
        <v>698.2278</v>
      </c>
      <c r="O9" s="23" t="n">
        <v>0.751194089818761</v>
      </c>
      <c r="P9" s="23" t="n">
        <v>1.96269343065263</v>
      </c>
      <c r="Q9" s="23" t="n">
        <v>0.286249586679674</v>
      </c>
      <c r="R9" s="23" t="n">
        <v>0.606200051440249</v>
      </c>
      <c r="S9" s="17" t="s">
        <v>28</v>
      </c>
    </row>
    <row r="10" customFormat="false" ht="18" hidden="false" customHeight="true" outlineLevel="0" collapsed="false">
      <c r="A10" s="10" t="s">
        <v>34</v>
      </c>
      <c r="B10" s="11" t="n">
        <v>10</v>
      </c>
      <c r="C10" s="11" t="n">
        <v>10</v>
      </c>
      <c r="D10" s="12" t="n">
        <v>59918.2</v>
      </c>
      <c r="E10" s="12"/>
      <c r="F10" s="12" t="n">
        <v>64848.8186</v>
      </c>
      <c r="G10" s="12" t="n">
        <v>5639.568</v>
      </c>
      <c r="H10" s="13" t="n">
        <v>0</v>
      </c>
      <c r="I10" s="14" t="s">
        <v>27</v>
      </c>
      <c r="J10" s="12" t="n">
        <v>66007.6286</v>
      </c>
      <c r="K10" s="12" t="n">
        <v>7422.331</v>
      </c>
      <c r="L10" s="12" t="n">
        <v>68572.870055</v>
      </c>
      <c r="M10" s="15" t="n">
        <v>0.033475437291302</v>
      </c>
      <c r="N10" s="16" t="n">
        <v>744.08265</v>
      </c>
      <c r="O10" s="15" t="n">
        <v>0.0580179831698978</v>
      </c>
      <c r="P10" s="15" t="n">
        <v>0.316116943709164</v>
      </c>
      <c r="Q10" s="15" t="n">
        <v>-0.0954489877605571</v>
      </c>
      <c r="R10" s="15"/>
      <c r="S10" s="25" t="s">
        <v>35</v>
      </c>
    </row>
    <row r="11" customFormat="false" ht="18" hidden="false" customHeight="true" outlineLevel="0" collapsed="false">
      <c r="A11" s="26" t="s">
        <v>36</v>
      </c>
      <c r="B11" s="27"/>
      <c r="C11" s="27"/>
      <c r="D11" s="28" t="n">
        <v>78341.44</v>
      </c>
      <c r="E11" s="28" t="n">
        <v>71219.3</v>
      </c>
      <c r="F11" s="28" t="n">
        <v>67455.0228514286</v>
      </c>
      <c r="G11" s="27"/>
      <c r="H11" s="27"/>
      <c r="I11" s="27"/>
      <c r="J11" s="28" t="n">
        <v>87992.27054</v>
      </c>
      <c r="K11" s="27"/>
      <c r="L11" s="27"/>
      <c r="M11" s="29" t="n">
        <v>0.0538458034156828</v>
      </c>
      <c r="N11" s="27"/>
      <c r="O11" s="29" t="n">
        <v>0.469300395759344</v>
      </c>
      <c r="P11" s="27"/>
      <c r="Q11" s="27"/>
      <c r="R11" s="29" t="n">
        <v>0.498240218345624</v>
      </c>
      <c r="S11" s="27"/>
    </row>
    <row r="13" customFormat="false" ht="19.5" hidden="false" customHeight="true" outlineLevel="0" collapsed="false">
      <c r="A13" s="30" t="s">
        <v>37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</row>
  </sheetData>
  <mergeCells count="8">
    <mergeCell ref="A1:S1"/>
    <mergeCell ref="A2:S2"/>
    <mergeCell ref="A4:C4"/>
    <mergeCell ref="D4:E4"/>
    <mergeCell ref="F4:I4"/>
    <mergeCell ref="J4:N4"/>
    <mergeCell ref="O4:S4"/>
    <mergeCell ref="A13:S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7"/>
    <col collapsed="false" customWidth="true" hidden="false" outlineLevel="0" max="3" min="3" style="1" width="8"/>
    <col collapsed="false" customWidth="true" hidden="false" outlineLevel="0" max="7" min="4" style="1" width="13"/>
    <col collapsed="false" customWidth="true" hidden="false" outlineLevel="0" max="8" min="8" style="1" width="10"/>
    <col collapsed="false" customWidth="true" hidden="false" outlineLevel="0" max="9" min="9" style="1" width="18"/>
    <col collapsed="false" customWidth="true" hidden="false" outlineLevel="0" max="11" min="10" style="1" width="13"/>
    <col collapsed="false" customWidth="true" hidden="false" outlineLevel="0" max="12" min="12" style="1" width="11"/>
    <col collapsed="false" customWidth="true" hidden="false" outlineLevel="0" max="13" min="13" style="1" width="13"/>
    <col collapsed="false" customWidth="true" hidden="false" outlineLevel="0" max="14" min="14" style="1" width="9"/>
    <col collapsed="false" customWidth="true" hidden="false" outlineLevel="0" max="15" min="15" style="1" width="6"/>
    <col collapsed="false" customWidth="true" hidden="false" outlineLevel="0" max="17" min="16" style="1" width="12"/>
    <col collapsed="false" customWidth="true" hidden="false" outlineLevel="0" max="18" min="18" style="1" width="11"/>
    <col collapsed="false" customWidth="true" hidden="false" outlineLevel="0" max="19" min="19" style="1" width="13"/>
    <col collapsed="false" customWidth="true" hidden="false" outlineLevel="0" max="20" min="20" style="1" width="14"/>
    <col collapsed="false" customWidth="true" hidden="false" outlineLevel="0" max="21" min="21" style="1" width="13"/>
    <col collapsed="false" customWidth="true" hidden="false" outlineLevel="0" max="22" min="22" style="1" width="15"/>
  </cols>
  <sheetData>
    <row r="1" customFormat="false" ht="21.75" hidden="false" customHeight="true" outlineLevel="0" collapsed="false">
      <c r="A1" s="31" t="s">
        <v>38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</row>
    <row r="2" customFormat="false" ht="7.5" hidden="false" customHeight="true" outlineLevel="0" collapsed="false"/>
    <row r="3" customFormat="false" ht="13.5" hidden="false" customHeight="true" outlineLevel="0" collapsed="false">
      <c r="A3" s="32" t="s">
        <v>39</v>
      </c>
      <c r="B3" s="32" t="s">
        <v>40</v>
      </c>
      <c r="C3" s="32" t="s">
        <v>41</v>
      </c>
      <c r="D3" s="33" t="s">
        <v>3</v>
      </c>
      <c r="E3" s="33"/>
      <c r="F3" s="34" t="s">
        <v>42</v>
      </c>
      <c r="G3" s="34"/>
      <c r="H3" s="34"/>
      <c r="I3" s="34"/>
      <c r="J3" s="35" t="s">
        <v>43</v>
      </c>
      <c r="K3" s="35"/>
      <c r="L3" s="35"/>
      <c r="M3" s="35"/>
      <c r="N3" s="35"/>
      <c r="O3" s="35"/>
      <c r="P3" s="35"/>
      <c r="Q3" s="35"/>
      <c r="R3" s="35"/>
      <c r="S3" s="36" t="s">
        <v>44</v>
      </c>
      <c r="T3" s="36"/>
      <c r="U3" s="36"/>
      <c r="V3" s="36" t="s">
        <v>45</v>
      </c>
    </row>
    <row r="4" customFormat="false" ht="27.75" hidden="false" customHeight="true" outlineLevel="0" collapsed="false">
      <c r="A4" s="9" t="s">
        <v>46</v>
      </c>
      <c r="B4" s="9" t="s">
        <v>47</v>
      </c>
      <c r="C4" s="9" t="s">
        <v>48</v>
      </c>
      <c r="D4" s="37" t="s">
        <v>49</v>
      </c>
      <c r="E4" s="37" t="s">
        <v>50</v>
      </c>
      <c r="F4" s="38" t="s">
        <v>51</v>
      </c>
      <c r="G4" s="38" t="s">
        <v>52</v>
      </c>
      <c r="H4" s="38" t="s">
        <v>53</v>
      </c>
      <c r="I4" s="38" t="s">
        <v>54</v>
      </c>
      <c r="J4" s="39" t="s">
        <v>55</v>
      </c>
      <c r="K4" s="39" t="s">
        <v>56</v>
      </c>
      <c r="L4" s="39" t="s">
        <v>57</v>
      </c>
      <c r="M4" s="39" t="s">
        <v>58</v>
      </c>
      <c r="N4" s="39" t="s">
        <v>59</v>
      </c>
      <c r="O4" s="39" t="s">
        <v>60</v>
      </c>
      <c r="P4" s="39" t="s">
        <v>61</v>
      </c>
      <c r="Q4" s="39" t="s">
        <v>62</v>
      </c>
      <c r="R4" s="39" t="s">
        <v>63</v>
      </c>
      <c r="S4" s="40" t="s">
        <v>64</v>
      </c>
      <c r="T4" s="40" t="s">
        <v>65</v>
      </c>
      <c r="U4" s="40" t="s">
        <v>66</v>
      </c>
      <c r="V4" s="40" t="s">
        <v>43</v>
      </c>
    </row>
    <row r="5" customFormat="false" ht="15.75" hidden="false" customHeight="true" outlineLevel="0" collapsed="false">
      <c r="A5" s="11" t="n">
        <v>1</v>
      </c>
      <c r="B5" s="11" t="n">
        <v>38</v>
      </c>
      <c r="C5" s="11" t="n">
        <v>159</v>
      </c>
      <c r="D5" s="41" t="n">
        <v>40379</v>
      </c>
      <c r="E5" s="41" t="n">
        <v>40190</v>
      </c>
      <c r="F5" s="41" t="n">
        <v>40179.544</v>
      </c>
      <c r="G5" s="41" t="n">
        <v>40179.544</v>
      </c>
      <c r="H5" s="42" t="n">
        <v>0</v>
      </c>
      <c r="I5" s="43" t="s">
        <v>67</v>
      </c>
      <c r="J5" s="41" t="n">
        <v>56781.252</v>
      </c>
      <c r="K5" s="41" t="n">
        <v>62677.7226</v>
      </c>
      <c r="L5" s="41" t="n">
        <v>3323.335973</v>
      </c>
      <c r="M5" s="41" t="n">
        <v>66475.511</v>
      </c>
      <c r="N5" s="44" t="n">
        <v>0.0530226025315093</v>
      </c>
      <c r="O5" s="11" t="n">
        <v>10</v>
      </c>
      <c r="P5" s="45" t="n">
        <v>72.995</v>
      </c>
      <c r="Q5" s="45" t="n">
        <v>646.049</v>
      </c>
      <c r="R5" s="46" t="n">
        <v>619.3</v>
      </c>
      <c r="S5" s="47" t="n">
        <v>0.41318806405568</v>
      </c>
      <c r="T5" s="48" t="n">
        <v>0.412820403085345</v>
      </c>
      <c r="U5" s="48" t="n">
        <v>0.413188</v>
      </c>
      <c r="V5" s="17" t="s">
        <v>28</v>
      </c>
    </row>
    <row r="6" customFormat="false" ht="15.75" hidden="false" customHeight="true" outlineLevel="0" collapsed="false">
      <c r="A6" s="19" t="n">
        <v>2</v>
      </c>
      <c r="B6" s="19" t="n">
        <v>38</v>
      </c>
      <c r="C6" s="19" t="n">
        <v>159</v>
      </c>
      <c r="D6" s="49" t="n">
        <v>106074</v>
      </c>
      <c r="E6" s="49" t="n">
        <v>105100</v>
      </c>
      <c r="F6" s="49" t="n">
        <v>105100.906</v>
      </c>
      <c r="G6" s="49" t="n">
        <v>105100.906</v>
      </c>
      <c r="H6" s="50" t="n">
        <v>0</v>
      </c>
      <c r="I6" s="51" t="s">
        <v>67</v>
      </c>
      <c r="J6" s="49" t="n">
        <v>111931.515</v>
      </c>
      <c r="K6" s="49" t="n">
        <v>123103.84925</v>
      </c>
      <c r="L6" s="49" t="n">
        <v>7317.63281046678</v>
      </c>
      <c r="M6" s="49" t="n">
        <v>137245.701</v>
      </c>
      <c r="N6" s="52" t="n">
        <v>0.0594427619855013</v>
      </c>
      <c r="O6" s="19" t="n">
        <v>8</v>
      </c>
      <c r="P6" s="53" t="n">
        <v>36.223</v>
      </c>
      <c r="Q6" s="53" t="n">
        <v>662.9475</v>
      </c>
      <c r="R6" s="54" t="n">
        <v>710.375</v>
      </c>
      <c r="S6" s="55" t="n">
        <v>0.0649909621140659</v>
      </c>
      <c r="T6" s="56" t="n">
        <v>0.0650001427212179</v>
      </c>
      <c r="U6" s="57"/>
      <c r="V6" s="25" t="s">
        <v>35</v>
      </c>
    </row>
    <row r="7" customFormat="false" ht="15.75" hidden="false" customHeight="true" outlineLevel="0" collapsed="false">
      <c r="A7" s="11" t="n">
        <v>3</v>
      </c>
      <c r="B7" s="11" t="n">
        <v>38</v>
      </c>
      <c r="C7" s="11" t="n">
        <v>159</v>
      </c>
      <c r="D7" s="41" t="n">
        <v>44767</v>
      </c>
      <c r="E7" s="41" t="n">
        <v>42948</v>
      </c>
      <c r="F7" s="41" t="n">
        <v>42938.57</v>
      </c>
      <c r="G7" s="41" t="n">
        <v>42938.57</v>
      </c>
      <c r="H7" s="42" t="n">
        <v>0</v>
      </c>
      <c r="I7" s="43" t="s">
        <v>67</v>
      </c>
      <c r="J7" s="41" t="n">
        <v>57318.583</v>
      </c>
      <c r="K7" s="41" t="n">
        <v>61098.4296</v>
      </c>
      <c r="L7" s="41" t="n">
        <v>2683.738175</v>
      </c>
      <c r="M7" s="41" t="n">
        <v>65055.363</v>
      </c>
      <c r="N7" s="44" t="n">
        <v>0.0439248306800998</v>
      </c>
      <c r="O7" s="11" t="n">
        <v>10</v>
      </c>
      <c r="P7" s="45" t="n">
        <v>15.5</v>
      </c>
      <c r="Q7" s="45" t="n">
        <v>498.361</v>
      </c>
      <c r="R7" s="46" t="n">
        <v>615.6</v>
      </c>
      <c r="S7" s="47" t="n">
        <v>0.334897342878442</v>
      </c>
      <c r="T7" s="48" t="n">
        <v>0.334604242339573</v>
      </c>
      <c r="U7" s="48" t="n">
        <v>0.334897</v>
      </c>
      <c r="V7" s="17" t="s">
        <v>28</v>
      </c>
    </row>
    <row r="8" customFormat="false" ht="15.75" hidden="false" customHeight="true" outlineLevel="0" collapsed="false">
      <c r="A8" s="19" t="n">
        <v>4</v>
      </c>
      <c r="B8" s="19" t="n">
        <v>38</v>
      </c>
      <c r="C8" s="19" t="n">
        <v>159</v>
      </c>
      <c r="D8" s="49" t="n">
        <v>131571</v>
      </c>
      <c r="E8" s="49" t="n">
        <v>131571</v>
      </c>
      <c r="F8" s="49" t="n">
        <v>131571</v>
      </c>
      <c r="G8" s="49" t="n">
        <v>131571</v>
      </c>
      <c r="H8" s="50" t="n">
        <v>0</v>
      </c>
      <c r="I8" s="51" t="s">
        <v>67</v>
      </c>
      <c r="J8" s="49" t="n">
        <v>150481.479</v>
      </c>
      <c r="K8" s="49" t="n">
        <v>153253.4269</v>
      </c>
      <c r="L8" s="49" t="n">
        <v>2189.122969</v>
      </c>
      <c r="M8" s="49" t="n">
        <v>157090.757</v>
      </c>
      <c r="N8" s="52" t="n">
        <v>0.0142843329071423</v>
      </c>
      <c r="O8" s="19" t="n">
        <v>10</v>
      </c>
      <c r="P8" s="53" t="n">
        <v>541.954</v>
      </c>
      <c r="Q8" s="53" t="n">
        <v>1129.289</v>
      </c>
      <c r="R8" s="54" t="n">
        <v>759.7</v>
      </c>
      <c r="S8" s="55" t="n">
        <v>0.143728321590624</v>
      </c>
      <c r="T8" s="56" t="n">
        <v>0.143728321590624</v>
      </c>
      <c r="U8" s="56" t="n">
        <v>0.143728</v>
      </c>
      <c r="V8" s="25" t="s">
        <v>35</v>
      </c>
    </row>
    <row r="9" customFormat="false" ht="15.75" hidden="false" customHeight="true" outlineLevel="0" collapsed="false">
      <c r="A9" s="11" t="n">
        <v>5</v>
      </c>
      <c r="B9" s="11" t="n">
        <v>38</v>
      </c>
      <c r="C9" s="11" t="n">
        <v>159</v>
      </c>
      <c r="D9" s="41" t="n">
        <v>38366</v>
      </c>
      <c r="E9" s="41" t="n">
        <v>38203</v>
      </c>
      <c r="F9" s="41" t="n">
        <v>38183.994</v>
      </c>
      <c r="G9" s="41" t="n">
        <v>38183.994</v>
      </c>
      <c r="H9" s="42" t="n">
        <v>0</v>
      </c>
      <c r="I9" s="43" t="s">
        <v>67</v>
      </c>
      <c r="J9" s="41" t="n">
        <v>47329.026</v>
      </c>
      <c r="K9" s="41" t="n">
        <v>50914.0654</v>
      </c>
      <c r="L9" s="41" t="n">
        <v>2322.741231</v>
      </c>
      <c r="M9" s="41" t="n">
        <v>54135.7</v>
      </c>
      <c r="N9" s="44" t="n">
        <v>0.045620816423746</v>
      </c>
      <c r="O9" s="11" t="n">
        <v>10</v>
      </c>
      <c r="P9" s="45" t="n">
        <v>170.079</v>
      </c>
      <c r="Q9" s="45" t="n">
        <v>845.605</v>
      </c>
      <c r="R9" s="46" t="n">
        <v>592.5</v>
      </c>
      <c r="S9" s="58" t="n">
        <v>0.239499094830153</v>
      </c>
      <c r="T9" s="48" t="n">
        <v>0.238882443787137</v>
      </c>
      <c r="U9" s="48" t="n">
        <v>0.239499</v>
      </c>
      <c r="V9" s="59" t="s">
        <v>68</v>
      </c>
    </row>
    <row r="10" customFormat="false" ht="15.75" hidden="false" customHeight="true" outlineLevel="0" collapsed="false">
      <c r="A10" s="19" t="n">
        <v>6</v>
      </c>
      <c r="B10" s="19" t="n">
        <v>38</v>
      </c>
      <c r="C10" s="19" t="n">
        <v>159</v>
      </c>
      <c r="D10" s="49" t="n">
        <v>71165</v>
      </c>
      <c r="E10" s="49" t="n">
        <v>70816</v>
      </c>
      <c r="F10" s="49" t="n">
        <v>70335.169</v>
      </c>
      <c r="G10" s="49" t="n">
        <v>70335.169</v>
      </c>
      <c r="H10" s="50" t="n">
        <v>0</v>
      </c>
      <c r="I10" s="51" t="s">
        <v>67</v>
      </c>
      <c r="J10" s="49" t="n">
        <v>70769.257</v>
      </c>
      <c r="K10" s="49" t="n">
        <v>79110.7428</v>
      </c>
      <c r="L10" s="49" t="n">
        <v>3692.389007</v>
      </c>
      <c r="M10" s="49" t="n">
        <v>83166.137</v>
      </c>
      <c r="N10" s="52" t="n">
        <v>0.0466736738439523</v>
      </c>
      <c r="O10" s="19" t="n">
        <v>10</v>
      </c>
      <c r="P10" s="53" t="n">
        <v>256.176</v>
      </c>
      <c r="Q10" s="53" t="n">
        <v>691.442</v>
      </c>
      <c r="R10" s="54" t="n">
        <v>600.6</v>
      </c>
      <c r="S10" s="60" t="n">
        <v>0.00617170621997089</v>
      </c>
      <c r="T10" s="56" t="n">
        <v>-0.000660062697695467</v>
      </c>
      <c r="U10" s="56" t="n">
        <v>0.006172</v>
      </c>
      <c r="V10" s="34" t="s">
        <v>69</v>
      </c>
    </row>
    <row r="11" customFormat="false" ht="15.75" hidden="false" customHeight="true" outlineLevel="0" collapsed="false">
      <c r="A11" s="11" t="n">
        <v>7</v>
      </c>
      <c r="B11" s="11" t="n">
        <v>38</v>
      </c>
      <c r="C11" s="11" t="n">
        <v>159</v>
      </c>
      <c r="D11" s="41" t="n">
        <v>14073</v>
      </c>
      <c r="E11" s="41" t="n">
        <v>13701</v>
      </c>
      <c r="F11" s="41" t="n">
        <v>13506.887</v>
      </c>
      <c r="G11" s="41" t="n">
        <v>13506.887</v>
      </c>
      <c r="H11" s="42" t="n">
        <v>0</v>
      </c>
      <c r="I11" s="43" t="s">
        <v>67</v>
      </c>
      <c r="J11" s="41" t="n">
        <v>23159.862</v>
      </c>
      <c r="K11" s="41" t="n">
        <v>24820.3538</v>
      </c>
      <c r="L11" s="41" t="n">
        <v>1443.774026</v>
      </c>
      <c r="M11" s="41" t="n">
        <v>28004.764</v>
      </c>
      <c r="N11" s="44" t="n">
        <v>0.0581689543039471</v>
      </c>
      <c r="O11" s="11" t="n">
        <v>10</v>
      </c>
      <c r="P11" s="45" t="n">
        <v>73.472</v>
      </c>
      <c r="Q11" s="45" t="n">
        <v>646.789</v>
      </c>
      <c r="R11" s="46" t="n">
        <v>578.9</v>
      </c>
      <c r="S11" s="47" t="n">
        <v>0.714670597303435</v>
      </c>
      <c r="T11" s="48" t="n">
        <v>0.69037749069411</v>
      </c>
      <c r="U11" s="48" t="n">
        <v>0.714671</v>
      </c>
      <c r="V11" s="17" t="s">
        <v>28</v>
      </c>
    </row>
    <row r="12" customFormat="false" ht="15.75" hidden="false" customHeight="true" outlineLevel="0" collapsed="false">
      <c r="A12" s="19" t="n">
        <v>8</v>
      </c>
      <c r="B12" s="19" t="n">
        <v>38</v>
      </c>
      <c r="C12" s="19" t="n">
        <v>159</v>
      </c>
      <c r="D12" s="49" t="n">
        <v>169254</v>
      </c>
      <c r="E12" s="49" t="n">
        <v>169018</v>
      </c>
      <c r="F12" s="49" t="n">
        <v>169018.311</v>
      </c>
      <c r="G12" s="49" t="n">
        <v>169018.311</v>
      </c>
      <c r="H12" s="50" t="n">
        <v>0</v>
      </c>
      <c r="I12" s="51" t="s">
        <v>67</v>
      </c>
      <c r="J12" s="49" t="n">
        <v>198643.659</v>
      </c>
      <c r="K12" s="49" t="n">
        <v>210182.1072</v>
      </c>
      <c r="L12" s="49" t="n">
        <v>6242.000128</v>
      </c>
      <c r="M12" s="49" t="n">
        <v>219188.388</v>
      </c>
      <c r="N12" s="52" t="n">
        <v>0.0296980566574128</v>
      </c>
      <c r="O12" s="19" t="n">
        <v>10</v>
      </c>
      <c r="P12" s="53" t="n">
        <v>15.056</v>
      </c>
      <c r="Q12" s="53" t="n">
        <v>948.187</v>
      </c>
      <c r="R12" s="54" t="n">
        <v>707.2</v>
      </c>
      <c r="S12" s="58" t="n">
        <v>0.175278925843721</v>
      </c>
      <c r="T12" s="56" t="n">
        <v>0.175281088404785</v>
      </c>
      <c r="U12" s="56" t="n">
        <v>0.175279</v>
      </c>
      <c r="V12" s="59" t="s">
        <v>68</v>
      </c>
    </row>
    <row r="13" customFormat="false" ht="15.75" hidden="false" customHeight="true" outlineLevel="0" collapsed="false">
      <c r="A13" s="11" t="n">
        <v>9</v>
      </c>
      <c r="B13" s="11" t="n">
        <v>38</v>
      </c>
      <c r="C13" s="11" t="n">
        <v>159</v>
      </c>
      <c r="D13" s="41" t="n">
        <v>19648</v>
      </c>
      <c r="E13" s="41" t="n">
        <v>18826</v>
      </c>
      <c r="F13" s="41" t="n">
        <v>18632.113</v>
      </c>
      <c r="G13" s="41" t="n">
        <v>18632.113</v>
      </c>
      <c r="H13" s="42" t="n">
        <v>0</v>
      </c>
      <c r="I13" s="43" t="s">
        <v>67</v>
      </c>
      <c r="J13" s="41" t="n">
        <v>24464.038</v>
      </c>
      <c r="K13" s="41" t="n">
        <v>29638.2797</v>
      </c>
      <c r="L13" s="41" t="n">
        <v>2708.452781</v>
      </c>
      <c r="M13" s="41" t="n">
        <v>34240.182</v>
      </c>
      <c r="N13" s="44" t="n">
        <v>0.0913836028411595</v>
      </c>
      <c r="O13" s="11" t="n">
        <v>10</v>
      </c>
      <c r="P13" s="45" t="n">
        <v>72.749</v>
      </c>
      <c r="Q13" s="45" t="n">
        <v>910.67</v>
      </c>
      <c r="R13" s="46" t="n">
        <v>622.7</v>
      </c>
      <c r="S13" s="47" t="n">
        <v>0.313003951833053</v>
      </c>
      <c r="T13" s="48" t="n">
        <v>0.299481461808138</v>
      </c>
      <c r="U13" s="48" t="n">
        <v>0.313004</v>
      </c>
      <c r="V13" s="17" t="s">
        <v>28</v>
      </c>
    </row>
    <row r="14" customFormat="false" ht="15.75" hidden="false" customHeight="true" outlineLevel="0" collapsed="false">
      <c r="A14" s="19" t="n">
        <v>10</v>
      </c>
      <c r="B14" s="19" t="n">
        <v>38</v>
      </c>
      <c r="C14" s="19" t="n">
        <v>159</v>
      </c>
      <c r="D14" s="49" t="n">
        <v>8642</v>
      </c>
      <c r="E14" s="49" t="n">
        <v>8444</v>
      </c>
      <c r="F14" s="49" t="n">
        <v>8335.23</v>
      </c>
      <c r="G14" s="49" t="n">
        <v>8335.23</v>
      </c>
      <c r="H14" s="50" t="n">
        <v>0</v>
      </c>
      <c r="I14" s="51" t="s">
        <v>67</v>
      </c>
      <c r="J14" s="49" t="n">
        <v>18195.091</v>
      </c>
      <c r="K14" s="49" t="n">
        <v>21414.6766</v>
      </c>
      <c r="L14" s="49" t="n">
        <v>2058.656327</v>
      </c>
      <c r="M14" s="49" t="n">
        <v>24979.508</v>
      </c>
      <c r="N14" s="52" t="n">
        <v>0.0961329636423274</v>
      </c>
      <c r="O14" s="19" t="n">
        <v>10</v>
      </c>
      <c r="P14" s="53" t="n">
        <v>420.054</v>
      </c>
      <c r="Q14" s="53" t="n">
        <v>1018.639</v>
      </c>
      <c r="R14" s="54" t="n">
        <v>614.1</v>
      </c>
      <c r="S14" s="47" t="n">
        <v>1.1829140887534</v>
      </c>
      <c r="T14" s="56" t="n">
        <v>1.15479523922312</v>
      </c>
      <c r="U14" s="56" t="n">
        <v>1.182914</v>
      </c>
      <c r="V14" s="17" t="s">
        <v>28</v>
      </c>
    </row>
    <row r="15" customFormat="false" ht="18" hidden="false" customHeight="true" outlineLevel="0" collapsed="false">
      <c r="A15" s="32" t="s">
        <v>70</v>
      </c>
      <c r="B15" s="32"/>
      <c r="C15" s="32"/>
      <c r="D15" s="61" t="n">
        <f aca="false">AVERAGE(D5:D14)</f>
        <v>64393.9</v>
      </c>
      <c r="E15" s="61" t="n">
        <f aca="false">AVERAGE(E5:E14)</f>
        <v>63881.7</v>
      </c>
      <c r="F15" s="61" t="n">
        <f aca="false">AVERAGE(F5:F14)</f>
        <v>63780.1724</v>
      </c>
      <c r="G15" s="61" t="n">
        <f aca="false">AVERAGE(G5:G14)</f>
        <v>63780.1724</v>
      </c>
      <c r="H15" s="62" t="n">
        <f aca="false">AVERAGE(H5:H14)</f>
        <v>0</v>
      </c>
      <c r="I15" s="26"/>
      <c r="J15" s="61" t="n">
        <f aca="false">AVERAGE(J5:J14)</f>
        <v>75907.3762</v>
      </c>
      <c r="K15" s="61" t="n">
        <f aca="false">AVERAGE(K5:K14)</f>
        <v>81621.365385</v>
      </c>
      <c r="L15" s="61" t="n">
        <f aca="false">AVERAGE(L5:L14)</f>
        <v>3398.18434274668</v>
      </c>
      <c r="M15" s="61" t="n">
        <f aca="false">AVERAGE(M5:M14)</f>
        <v>86958.2011</v>
      </c>
      <c r="N15" s="63" t="n">
        <f aca="false">AVERAGE(N5:N14)</f>
        <v>0.0538352595816798</v>
      </c>
      <c r="O15" s="64" t="n">
        <v>10</v>
      </c>
      <c r="P15" s="65" t="n">
        <f aca="false">AVERAGE(P5:P14)</f>
        <v>167.4258</v>
      </c>
      <c r="Q15" s="65" t="n">
        <f aca="false">AVERAGE(Q5:Q14)</f>
        <v>799.79785</v>
      </c>
      <c r="R15" s="66" t="n">
        <f aca="false">AVERAGE(R5:R14)</f>
        <v>642.0975</v>
      </c>
      <c r="S15" s="67" t="n">
        <f aca="false">AVERAGE(S5:S14)</f>
        <v>0.358834305542255</v>
      </c>
      <c r="T15" s="67" t="n">
        <f aca="false">AVERAGE(T5:T14)</f>
        <v>0.351431077095635</v>
      </c>
      <c r="U15" s="67" t="n">
        <f aca="false">AVERAGE(U5:U14)</f>
        <v>0.391483555555556</v>
      </c>
      <c r="V15" s="32"/>
    </row>
    <row r="17" customFormat="false" ht="27.75" hidden="false" customHeight="true" outlineLevel="0" collapsed="false">
      <c r="A17" s="30" t="s">
        <v>71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</row>
  </sheetData>
  <mergeCells count="6">
    <mergeCell ref="A1:V1"/>
    <mergeCell ref="D3:E3"/>
    <mergeCell ref="F3:I3"/>
    <mergeCell ref="J3:R3"/>
    <mergeCell ref="S3:U3"/>
    <mergeCell ref="A17:V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7"/>
    <col collapsed="false" customWidth="true" hidden="false" outlineLevel="0" max="3" min="3" style="1" width="8"/>
    <col collapsed="false" customWidth="true" hidden="false" outlineLevel="0" max="7" min="4" style="1" width="13"/>
    <col collapsed="false" customWidth="true" hidden="false" outlineLevel="0" max="8" min="8" style="1" width="10"/>
    <col collapsed="false" customWidth="true" hidden="false" outlineLevel="0" max="9" min="9" style="1" width="18"/>
    <col collapsed="false" customWidth="true" hidden="false" outlineLevel="0" max="11" min="10" style="1" width="13"/>
    <col collapsed="false" customWidth="true" hidden="false" outlineLevel="0" max="12" min="12" style="1" width="11"/>
    <col collapsed="false" customWidth="true" hidden="false" outlineLevel="0" max="13" min="13" style="1" width="13"/>
    <col collapsed="false" customWidth="true" hidden="false" outlineLevel="0" max="14" min="14" style="1" width="9"/>
    <col collapsed="false" customWidth="true" hidden="false" outlineLevel="0" max="15" min="15" style="1" width="6"/>
    <col collapsed="false" customWidth="true" hidden="false" outlineLevel="0" max="17" min="16" style="1" width="12"/>
    <col collapsed="false" customWidth="true" hidden="false" outlineLevel="0" max="18" min="18" style="1" width="11"/>
    <col collapsed="false" customWidth="true" hidden="false" outlineLevel="0" max="19" min="19" style="1" width="13"/>
    <col collapsed="false" customWidth="true" hidden="false" outlineLevel="0" max="20" min="20" style="1" width="14"/>
    <col collapsed="false" customWidth="true" hidden="false" outlineLevel="0" max="21" min="21" style="1" width="13"/>
    <col collapsed="false" customWidth="true" hidden="false" outlineLevel="0" max="22" min="22" style="1" width="15"/>
  </cols>
  <sheetData>
    <row r="1" customFormat="false" ht="21.75" hidden="false" customHeight="true" outlineLevel="0" collapsed="false">
      <c r="A1" s="31" t="s">
        <v>72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</row>
    <row r="2" customFormat="false" ht="7.5" hidden="false" customHeight="true" outlineLevel="0" collapsed="false"/>
    <row r="3" customFormat="false" ht="13.5" hidden="false" customHeight="true" outlineLevel="0" collapsed="false">
      <c r="A3" s="32" t="s">
        <v>39</v>
      </c>
      <c r="B3" s="32" t="s">
        <v>40</v>
      </c>
      <c r="C3" s="32" t="s">
        <v>41</v>
      </c>
      <c r="D3" s="33" t="s">
        <v>3</v>
      </c>
      <c r="E3" s="33"/>
      <c r="F3" s="34" t="s">
        <v>42</v>
      </c>
      <c r="G3" s="34"/>
      <c r="H3" s="34"/>
      <c r="I3" s="34"/>
      <c r="J3" s="35" t="s">
        <v>43</v>
      </c>
      <c r="K3" s="35"/>
      <c r="L3" s="35"/>
      <c r="M3" s="35"/>
      <c r="N3" s="35"/>
      <c r="O3" s="35"/>
      <c r="P3" s="35"/>
      <c r="Q3" s="35"/>
      <c r="R3" s="35"/>
      <c r="S3" s="36" t="s">
        <v>44</v>
      </c>
      <c r="T3" s="36"/>
      <c r="U3" s="36"/>
      <c r="V3" s="36" t="s">
        <v>45</v>
      </c>
    </row>
    <row r="4" customFormat="false" ht="27.75" hidden="false" customHeight="true" outlineLevel="0" collapsed="false">
      <c r="A4" s="9" t="s">
        <v>46</v>
      </c>
      <c r="B4" s="9" t="s">
        <v>47</v>
      </c>
      <c r="C4" s="9" t="s">
        <v>48</v>
      </c>
      <c r="D4" s="37" t="s">
        <v>49</v>
      </c>
      <c r="E4" s="37" t="s">
        <v>50</v>
      </c>
      <c r="F4" s="38" t="s">
        <v>51</v>
      </c>
      <c r="G4" s="38" t="s">
        <v>52</v>
      </c>
      <c r="H4" s="38" t="s">
        <v>53</v>
      </c>
      <c r="I4" s="38" t="s">
        <v>54</v>
      </c>
      <c r="J4" s="39" t="s">
        <v>55</v>
      </c>
      <c r="K4" s="39" t="s">
        <v>56</v>
      </c>
      <c r="L4" s="39" t="s">
        <v>57</v>
      </c>
      <c r="M4" s="39" t="s">
        <v>58</v>
      </c>
      <c r="N4" s="39" t="s">
        <v>59</v>
      </c>
      <c r="O4" s="39" t="s">
        <v>60</v>
      </c>
      <c r="P4" s="39" t="s">
        <v>61</v>
      </c>
      <c r="Q4" s="39" t="s">
        <v>62</v>
      </c>
      <c r="R4" s="39" t="s">
        <v>63</v>
      </c>
      <c r="S4" s="40" t="s">
        <v>64</v>
      </c>
      <c r="T4" s="40" t="s">
        <v>65</v>
      </c>
      <c r="U4" s="40" t="s">
        <v>66</v>
      </c>
      <c r="V4" s="40" t="s">
        <v>43</v>
      </c>
    </row>
    <row r="5" customFormat="false" ht="15.75" hidden="false" customHeight="true" outlineLevel="0" collapsed="false">
      <c r="A5" s="11" t="n">
        <v>1</v>
      </c>
      <c r="B5" s="11" t="n">
        <v>57</v>
      </c>
      <c r="C5" s="11" t="n">
        <v>159</v>
      </c>
      <c r="D5" s="41" t="n">
        <v>44865</v>
      </c>
      <c r="E5" s="41" t="n">
        <v>43880</v>
      </c>
      <c r="F5" s="41" t="n">
        <v>43424.391</v>
      </c>
      <c r="G5" s="41" t="n">
        <v>42979.18296</v>
      </c>
      <c r="H5" s="42" t="n">
        <v>0.010358690169014</v>
      </c>
      <c r="I5" s="43" t="s">
        <v>73</v>
      </c>
      <c r="J5" s="41" t="n">
        <v>66534.182</v>
      </c>
      <c r="K5" s="41" t="n">
        <v>75778.2424</v>
      </c>
      <c r="L5" s="41" t="n">
        <v>5615.305826</v>
      </c>
      <c r="M5" s="41" t="n">
        <v>82614.9</v>
      </c>
      <c r="N5" s="44" t="n">
        <v>0.0741018219498847</v>
      </c>
      <c r="O5" s="11" t="n">
        <v>10</v>
      </c>
      <c r="P5" s="45" t="n">
        <v>3.703</v>
      </c>
      <c r="Q5" s="45" t="n">
        <v>789.815</v>
      </c>
      <c r="R5" s="46" t="n">
        <v>314.3</v>
      </c>
      <c r="S5" s="47" t="n">
        <v>0.532184573411749</v>
      </c>
      <c r="T5" s="48" t="n">
        <v>0.5162757976299</v>
      </c>
      <c r="U5" s="48" t="n">
        <v>0.548056</v>
      </c>
      <c r="V5" s="17" t="s">
        <v>28</v>
      </c>
    </row>
    <row r="6" customFormat="false" ht="15.75" hidden="false" customHeight="true" outlineLevel="0" collapsed="false">
      <c r="A6" s="19" t="n">
        <v>2</v>
      </c>
      <c r="B6" s="19" t="n">
        <v>57</v>
      </c>
      <c r="C6" s="19" t="n">
        <v>159</v>
      </c>
      <c r="D6" s="49" t="n">
        <v>116817</v>
      </c>
      <c r="E6" s="49" t="n">
        <v>112747</v>
      </c>
      <c r="F6" s="49" t="n">
        <v>108645.892</v>
      </c>
      <c r="G6" s="49" t="n">
        <v>108415.298656</v>
      </c>
      <c r="H6" s="50" t="n">
        <v>0.00212694469192653</v>
      </c>
      <c r="I6" s="51" t="s">
        <v>73</v>
      </c>
      <c r="J6" s="49" t="n">
        <v>131213.38</v>
      </c>
      <c r="K6" s="49" t="n">
        <v>144913.2059</v>
      </c>
      <c r="L6" s="49" t="n">
        <v>7952.431131</v>
      </c>
      <c r="M6" s="49" t="n">
        <v>155019.299</v>
      </c>
      <c r="N6" s="52" t="n">
        <v>0.0548772010225743</v>
      </c>
      <c r="O6" s="19" t="n">
        <v>10</v>
      </c>
      <c r="P6" s="53" t="n">
        <v>9.81</v>
      </c>
      <c r="Q6" s="53" t="n">
        <v>868.1</v>
      </c>
      <c r="R6" s="54" t="n">
        <v>353.9</v>
      </c>
      <c r="S6" s="58" t="n">
        <v>0.207715980646558</v>
      </c>
      <c r="T6" s="56" t="n">
        <v>0.163785998740543</v>
      </c>
      <c r="U6" s="56" t="n">
        <v>0.210285</v>
      </c>
      <c r="V6" s="59" t="s">
        <v>68</v>
      </c>
    </row>
    <row r="7" customFormat="false" ht="15.75" hidden="false" customHeight="true" outlineLevel="0" collapsed="false">
      <c r="A7" s="11" t="n">
        <v>3</v>
      </c>
      <c r="B7" s="11" t="n">
        <v>57</v>
      </c>
      <c r="C7" s="11" t="n">
        <v>159</v>
      </c>
      <c r="D7" s="41" t="n">
        <v>55287</v>
      </c>
      <c r="E7" s="41" t="n">
        <v>46764</v>
      </c>
      <c r="F7" s="41" t="n">
        <v>46154.492</v>
      </c>
      <c r="G7" s="41" t="n">
        <v>45689.573082</v>
      </c>
      <c r="H7" s="42" t="n">
        <v>0.0101756021481224</v>
      </c>
      <c r="I7" s="43" t="s">
        <v>73</v>
      </c>
      <c r="J7" s="41" t="n">
        <v>68149.324</v>
      </c>
      <c r="K7" s="41" t="n">
        <v>72731.4894</v>
      </c>
      <c r="L7" s="41" t="n">
        <v>2573.61152</v>
      </c>
      <c r="M7" s="41" t="n">
        <v>76897.897</v>
      </c>
      <c r="N7" s="44" t="n">
        <v>0.0353851067980467</v>
      </c>
      <c r="O7" s="11" t="n">
        <v>10</v>
      </c>
      <c r="P7" s="45" t="n">
        <v>174.002</v>
      </c>
      <c r="Q7" s="45" t="n">
        <v>1125.838</v>
      </c>
      <c r="R7" s="46" t="n">
        <v>319.3</v>
      </c>
      <c r="S7" s="47" t="n">
        <v>0.476548024837972</v>
      </c>
      <c r="T7" s="48" t="n">
        <v>0.45730313916688</v>
      </c>
      <c r="U7" s="48" t="n">
        <v>0.491573</v>
      </c>
      <c r="V7" s="17" t="s">
        <v>28</v>
      </c>
    </row>
    <row r="8" customFormat="false" ht="15.75" hidden="false" customHeight="true" outlineLevel="0" collapsed="false">
      <c r="A8" s="19" t="n">
        <v>4</v>
      </c>
      <c r="B8" s="19" t="n">
        <v>57</v>
      </c>
      <c r="C8" s="19" t="n">
        <v>159</v>
      </c>
      <c r="D8" s="49" t="n">
        <v>166871</v>
      </c>
      <c r="E8" s="49" t="n">
        <v>137205</v>
      </c>
      <c r="F8" s="49" t="n">
        <v>134477.501</v>
      </c>
      <c r="G8" s="49" t="n">
        <v>134218.018056</v>
      </c>
      <c r="H8" s="50" t="n">
        <v>0.00193329440978427</v>
      </c>
      <c r="I8" s="51" t="s">
        <v>73</v>
      </c>
      <c r="J8" s="49" t="n">
        <v>160951.949</v>
      </c>
      <c r="K8" s="49" t="n">
        <v>170033.0949</v>
      </c>
      <c r="L8" s="49" t="n">
        <v>6447.535827</v>
      </c>
      <c r="M8" s="49" t="n">
        <v>179476.85</v>
      </c>
      <c r="N8" s="52" t="n">
        <v>0.0379192993622326</v>
      </c>
      <c r="O8" s="19" t="n">
        <v>10</v>
      </c>
      <c r="P8" s="53" t="n">
        <v>241.72</v>
      </c>
      <c r="Q8" s="53" t="n">
        <v>748.274</v>
      </c>
      <c r="R8" s="54" t="n">
        <v>374.8</v>
      </c>
      <c r="S8" s="58" t="n">
        <v>0.196868976617881</v>
      </c>
      <c r="T8" s="56" t="n">
        <v>0.173076411209504</v>
      </c>
      <c r="U8" s="56" t="n">
        <v>0.199183</v>
      </c>
      <c r="V8" s="59" t="s">
        <v>68</v>
      </c>
    </row>
    <row r="9" customFormat="false" ht="15.75" hidden="false" customHeight="true" outlineLevel="0" collapsed="false">
      <c r="A9" s="11" t="n">
        <v>5</v>
      </c>
      <c r="B9" s="11" t="n">
        <v>57</v>
      </c>
      <c r="C9" s="11" t="n">
        <v>159</v>
      </c>
      <c r="D9" s="41" t="n">
        <v>42669</v>
      </c>
      <c r="E9" s="41" t="n">
        <v>41047</v>
      </c>
      <c r="F9" s="41" t="n">
        <v>40735.322</v>
      </c>
      <c r="G9" s="41" t="n">
        <v>40503.384026</v>
      </c>
      <c r="H9" s="42" t="n">
        <v>0.00572638508059263</v>
      </c>
      <c r="I9" s="43" t="s">
        <v>73</v>
      </c>
      <c r="J9" s="41" t="n">
        <v>56074.933</v>
      </c>
      <c r="K9" s="41" t="n">
        <v>63332.4694</v>
      </c>
      <c r="L9" s="41" t="n">
        <v>4231.298949</v>
      </c>
      <c r="M9" s="41" t="n">
        <v>68220.112</v>
      </c>
      <c r="N9" s="44" t="n">
        <v>0.0668108947761952</v>
      </c>
      <c r="O9" s="11" t="n">
        <v>10</v>
      </c>
      <c r="P9" s="45" t="n">
        <v>43.06</v>
      </c>
      <c r="Q9" s="45" t="n">
        <v>651.146</v>
      </c>
      <c r="R9" s="46" t="n">
        <v>316.7</v>
      </c>
      <c r="S9" s="47" t="n">
        <v>0.376567810118207</v>
      </c>
      <c r="T9" s="48" t="n">
        <v>0.366115258118742</v>
      </c>
      <c r="U9" s="48" t="n">
        <v>0.384451</v>
      </c>
      <c r="V9" s="17" t="s">
        <v>28</v>
      </c>
    </row>
    <row r="10" customFormat="false" ht="15.75" hidden="false" customHeight="true" outlineLevel="0" collapsed="false">
      <c r="A10" s="19" t="n">
        <v>6</v>
      </c>
      <c r="B10" s="19" t="n">
        <v>57</v>
      </c>
      <c r="C10" s="19" t="n">
        <v>159</v>
      </c>
      <c r="D10" s="49" t="n">
        <v>88799</v>
      </c>
      <c r="E10" s="49" t="n">
        <v>78350</v>
      </c>
      <c r="F10" s="49" t="n">
        <v>73458.775</v>
      </c>
      <c r="G10" s="49" t="n">
        <v>73092.751498</v>
      </c>
      <c r="H10" s="50" t="n">
        <v>0.00500765800299653</v>
      </c>
      <c r="I10" s="51" t="s">
        <v>73</v>
      </c>
      <c r="J10" s="49" t="n">
        <v>91409.074</v>
      </c>
      <c r="K10" s="49" t="n">
        <v>96374.6275</v>
      </c>
      <c r="L10" s="49" t="n">
        <v>3087.44862</v>
      </c>
      <c r="M10" s="49" t="n">
        <v>102389.248</v>
      </c>
      <c r="N10" s="52" t="n">
        <v>0.0320359071686166</v>
      </c>
      <c r="O10" s="19" t="n">
        <v>10</v>
      </c>
      <c r="P10" s="53" t="n">
        <v>22.41</v>
      </c>
      <c r="Q10" s="53" t="n">
        <v>694.318</v>
      </c>
      <c r="R10" s="54" t="n">
        <v>310.3</v>
      </c>
      <c r="S10" s="58" t="n">
        <v>0.244358812136467</v>
      </c>
      <c r="T10" s="56" t="n">
        <v>0.166676119974473</v>
      </c>
      <c r="U10" s="56" t="n">
        <v>0.25059</v>
      </c>
      <c r="V10" s="59" t="s">
        <v>68</v>
      </c>
    </row>
    <row r="11" customFormat="false" ht="15.75" hidden="false" customHeight="true" outlineLevel="0" collapsed="false">
      <c r="A11" s="11" t="n">
        <v>7</v>
      </c>
      <c r="B11" s="11" t="n">
        <v>57</v>
      </c>
      <c r="C11" s="11" t="n">
        <v>159</v>
      </c>
      <c r="D11" s="41" t="n">
        <v>18259</v>
      </c>
      <c r="E11" s="41" t="n">
        <v>16924</v>
      </c>
      <c r="F11" s="68"/>
      <c r="G11" s="68"/>
      <c r="H11" s="68"/>
      <c r="I11" s="43" t="s">
        <v>74</v>
      </c>
      <c r="J11" s="41" t="n">
        <v>29147.358</v>
      </c>
      <c r="K11" s="41" t="n">
        <v>34784.583</v>
      </c>
      <c r="L11" s="41" t="n">
        <v>3345.378811</v>
      </c>
      <c r="M11" s="41" t="n">
        <v>39048.38</v>
      </c>
      <c r="N11" s="44" t="n">
        <v>0.0961741818494705</v>
      </c>
      <c r="O11" s="11" t="n">
        <v>10</v>
      </c>
      <c r="P11" s="45" t="n">
        <v>271.349</v>
      </c>
      <c r="Q11" s="45" t="n">
        <v>953.347</v>
      </c>
      <c r="R11" s="46" t="n">
        <v>294.3</v>
      </c>
      <c r="S11" s="68"/>
      <c r="T11" s="48" t="n">
        <v>0.722249940912314</v>
      </c>
      <c r="U11" s="68"/>
      <c r="V11" s="69" t="s">
        <v>74</v>
      </c>
    </row>
    <row r="12" customFormat="false" ht="15.75" hidden="false" customHeight="true" outlineLevel="0" collapsed="false">
      <c r="A12" s="19" t="n">
        <v>8</v>
      </c>
      <c r="B12" s="19" t="n">
        <v>57</v>
      </c>
      <c r="C12" s="19" t="n">
        <v>159</v>
      </c>
      <c r="D12" s="49" t="n">
        <v>175837</v>
      </c>
      <c r="E12" s="49" t="n">
        <v>172711</v>
      </c>
      <c r="F12" s="57"/>
      <c r="G12" s="57"/>
      <c r="H12" s="57"/>
      <c r="I12" s="51" t="s">
        <v>74</v>
      </c>
      <c r="J12" s="49" t="n">
        <v>221998.122</v>
      </c>
      <c r="K12" s="49" t="n">
        <v>233170.6631</v>
      </c>
      <c r="L12" s="49" t="n">
        <v>6934.459919</v>
      </c>
      <c r="M12" s="49" t="n">
        <v>247860.106</v>
      </c>
      <c r="N12" s="52" t="n">
        <v>0.0297398473152946</v>
      </c>
      <c r="O12" s="19" t="n">
        <v>10</v>
      </c>
      <c r="P12" s="53" t="n">
        <v>3.118</v>
      </c>
      <c r="Q12" s="53" t="n">
        <v>849.672</v>
      </c>
      <c r="R12" s="54" t="n">
        <v>345.6</v>
      </c>
      <c r="S12" s="57"/>
      <c r="T12" s="56" t="n">
        <v>0.285373380965891</v>
      </c>
      <c r="U12" s="57"/>
      <c r="V12" s="69" t="s">
        <v>74</v>
      </c>
    </row>
    <row r="13" customFormat="false" ht="15.75" hidden="false" customHeight="true" outlineLevel="0" collapsed="false">
      <c r="A13" s="11" t="n">
        <v>9</v>
      </c>
      <c r="B13" s="11" t="n">
        <v>57</v>
      </c>
      <c r="C13" s="11" t="n">
        <v>159</v>
      </c>
      <c r="D13" s="41" t="n">
        <v>21962</v>
      </c>
      <c r="E13" s="41" t="n">
        <v>21904</v>
      </c>
      <c r="F13" s="68"/>
      <c r="G13" s="68"/>
      <c r="H13" s="68"/>
      <c r="I13" s="43" t="s">
        <v>74</v>
      </c>
      <c r="J13" s="41" t="n">
        <v>32288.285</v>
      </c>
      <c r="K13" s="41" t="n">
        <v>39920.9529</v>
      </c>
      <c r="L13" s="41" t="n">
        <v>4047.964998</v>
      </c>
      <c r="M13" s="41" t="n">
        <v>45781.345</v>
      </c>
      <c r="N13" s="44" t="n">
        <v>0.101399508376966</v>
      </c>
      <c r="O13" s="11" t="n">
        <v>10</v>
      </c>
      <c r="P13" s="45" t="n">
        <v>199.488</v>
      </c>
      <c r="Q13" s="45" t="n">
        <v>976.974</v>
      </c>
      <c r="R13" s="46" t="n">
        <v>302.4</v>
      </c>
      <c r="S13" s="68"/>
      <c r="T13" s="48" t="n">
        <v>0.474081674579985</v>
      </c>
      <c r="U13" s="68"/>
      <c r="V13" s="69" t="s">
        <v>74</v>
      </c>
    </row>
    <row r="14" customFormat="false" ht="15.75" hidden="false" customHeight="true" outlineLevel="0" collapsed="false">
      <c r="A14" s="19" t="n">
        <v>10</v>
      </c>
      <c r="B14" s="19" t="n">
        <v>57</v>
      </c>
      <c r="C14" s="19" t="n">
        <v>159</v>
      </c>
      <c r="D14" s="49" t="n">
        <v>11912</v>
      </c>
      <c r="E14" s="49" t="n">
        <v>11191</v>
      </c>
      <c r="F14" s="49" t="n">
        <v>10914.378</v>
      </c>
      <c r="G14" s="49" t="n">
        <v>10501.363105</v>
      </c>
      <c r="H14" s="50" t="n">
        <v>0.0393296461488273</v>
      </c>
      <c r="I14" s="51" t="s">
        <v>73</v>
      </c>
      <c r="J14" s="49" t="n">
        <v>29129.277</v>
      </c>
      <c r="K14" s="49" t="n">
        <v>33668.5299</v>
      </c>
      <c r="L14" s="49" t="n">
        <v>2912.256625</v>
      </c>
      <c r="M14" s="49" t="n">
        <v>38201.958</v>
      </c>
      <c r="N14" s="52" t="n">
        <v>0.0864978849284417</v>
      </c>
      <c r="O14" s="19" t="n">
        <v>10</v>
      </c>
      <c r="P14" s="53" t="n">
        <v>118.131</v>
      </c>
      <c r="Q14" s="53" t="n">
        <v>770.614</v>
      </c>
      <c r="R14" s="54" t="n">
        <v>313.8</v>
      </c>
      <c r="S14" s="47" t="n">
        <v>1.66889024734163</v>
      </c>
      <c r="T14" s="56" t="n">
        <v>1.60291993566259</v>
      </c>
      <c r="U14" s="56" t="n">
        <v>1.773857</v>
      </c>
      <c r="V14" s="17" t="s">
        <v>28</v>
      </c>
    </row>
    <row r="15" customFormat="false" ht="18" hidden="false" customHeight="true" outlineLevel="0" collapsed="false">
      <c r="A15" s="32" t="s">
        <v>70</v>
      </c>
      <c r="B15" s="32"/>
      <c r="C15" s="32"/>
      <c r="D15" s="61" t="n">
        <f aca="false">AVERAGE(D5:D14)</f>
        <v>74327.8</v>
      </c>
      <c r="E15" s="61" t="n">
        <f aca="false">AVERAGE(E5:E14)</f>
        <v>68272.3</v>
      </c>
      <c r="F15" s="61" t="n">
        <f aca="false">AVERAGE(F5:F14)</f>
        <v>65401.5358571429</v>
      </c>
      <c r="G15" s="61" t="n">
        <f aca="false">AVERAGE(G5:G14)</f>
        <v>65057.0816261429</v>
      </c>
      <c r="H15" s="62" t="n">
        <f aca="false">AVERAGE(H5:H14)</f>
        <v>0.0106654600930377</v>
      </c>
      <c r="I15" s="26"/>
      <c r="J15" s="61" t="n">
        <f aca="false">AVERAGE(J5:J14)</f>
        <v>88689.5884</v>
      </c>
      <c r="K15" s="61" t="n">
        <f aca="false">AVERAGE(K5:K14)</f>
        <v>96470.78584</v>
      </c>
      <c r="L15" s="61" t="n">
        <f aca="false">AVERAGE(L5:L14)</f>
        <v>4714.7692226</v>
      </c>
      <c r="M15" s="61" t="n">
        <f aca="false">AVERAGE(M5:M14)</f>
        <v>103551.0095</v>
      </c>
      <c r="N15" s="63" t="n">
        <f aca="false">AVERAGE(N5:N14)</f>
        <v>0.0614941653547723</v>
      </c>
      <c r="O15" s="64" t="n">
        <v>10</v>
      </c>
      <c r="P15" s="65" t="n">
        <f aca="false">AVERAGE(P5:P14)</f>
        <v>108.6791</v>
      </c>
      <c r="Q15" s="65" t="n">
        <f aca="false">AVERAGE(Q5:Q14)</f>
        <v>842.8098</v>
      </c>
      <c r="R15" s="66" t="n">
        <f aca="false">AVERAGE(R5:R14)</f>
        <v>324.54</v>
      </c>
      <c r="S15" s="67" t="n">
        <f aca="false">AVERAGE(S5:S14)</f>
        <v>0.529019203587209</v>
      </c>
      <c r="T15" s="67" t="n">
        <f aca="false">AVERAGE(T5:T14)</f>
        <v>0.492785765696082</v>
      </c>
      <c r="U15" s="67" t="n">
        <f aca="false">AVERAGE(U5:U14)</f>
        <v>0.551142142857143</v>
      </c>
      <c r="V15" s="32"/>
    </row>
    <row r="17" customFormat="false" ht="27.75" hidden="false" customHeight="true" outlineLevel="0" collapsed="false">
      <c r="A17" s="30" t="s">
        <v>71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</row>
  </sheetData>
  <mergeCells count="6">
    <mergeCell ref="A1:V1"/>
    <mergeCell ref="D3:E3"/>
    <mergeCell ref="F3:I3"/>
    <mergeCell ref="J3:R3"/>
    <mergeCell ref="S3:U3"/>
    <mergeCell ref="A17:V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7"/>
    <col collapsed="false" customWidth="true" hidden="false" outlineLevel="0" max="3" min="3" style="1" width="8"/>
    <col collapsed="false" customWidth="true" hidden="false" outlineLevel="0" max="7" min="4" style="1" width="13"/>
    <col collapsed="false" customWidth="true" hidden="false" outlineLevel="0" max="8" min="8" style="1" width="10"/>
    <col collapsed="false" customWidth="true" hidden="false" outlineLevel="0" max="9" min="9" style="1" width="18"/>
    <col collapsed="false" customWidth="true" hidden="false" outlineLevel="0" max="11" min="10" style="1" width="13"/>
    <col collapsed="false" customWidth="true" hidden="false" outlineLevel="0" max="12" min="12" style="1" width="11"/>
    <col collapsed="false" customWidth="true" hidden="false" outlineLevel="0" max="13" min="13" style="1" width="13"/>
    <col collapsed="false" customWidth="true" hidden="false" outlineLevel="0" max="14" min="14" style="1" width="9"/>
    <col collapsed="false" customWidth="true" hidden="false" outlineLevel="0" max="15" min="15" style="1" width="6"/>
    <col collapsed="false" customWidth="true" hidden="false" outlineLevel="0" max="17" min="16" style="1" width="12"/>
    <col collapsed="false" customWidth="true" hidden="false" outlineLevel="0" max="18" min="18" style="1" width="11"/>
    <col collapsed="false" customWidth="true" hidden="false" outlineLevel="0" max="19" min="19" style="1" width="13"/>
    <col collapsed="false" customWidth="true" hidden="false" outlineLevel="0" max="20" min="20" style="1" width="14"/>
    <col collapsed="false" customWidth="true" hidden="false" outlineLevel="0" max="21" min="21" style="1" width="13"/>
    <col collapsed="false" customWidth="true" hidden="false" outlineLevel="0" max="22" min="22" style="1" width="15"/>
  </cols>
  <sheetData>
    <row r="1" customFormat="false" ht="21.75" hidden="false" customHeight="true" outlineLevel="0" collapsed="false">
      <c r="A1" s="31" t="s">
        <v>75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</row>
    <row r="2" customFormat="false" ht="7.5" hidden="false" customHeight="true" outlineLevel="0" collapsed="false"/>
    <row r="3" customFormat="false" ht="13.5" hidden="false" customHeight="true" outlineLevel="0" collapsed="false">
      <c r="A3" s="32" t="s">
        <v>39</v>
      </c>
      <c r="B3" s="32" t="s">
        <v>40</v>
      </c>
      <c r="C3" s="32" t="s">
        <v>41</v>
      </c>
      <c r="D3" s="33" t="s">
        <v>3</v>
      </c>
      <c r="E3" s="33"/>
      <c r="F3" s="34" t="s">
        <v>42</v>
      </c>
      <c r="G3" s="34"/>
      <c r="H3" s="34"/>
      <c r="I3" s="34"/>
      <c r="J3" s="35" t="s">
        <v>43</v>
      </c>
      <c r="K3" s="35"/>
      <c r="L3" s="35"/>
      <c r="M3" s="35"/>
      <c r="N3" s="35"/>
      <c r="O3" s="35"/>
      <c r="P3" s="35"/>
      <c r="Q3" s="35"/>
      <c r="R3" s="35"/>
      <c r="S3" s="36" t="s">
        <v>44</v>
      </c>
      <c r="T3" s="36"/>
      <c r="U3" s="36"/>
      <c r="V3" s="36" t="s">
        <v>45</v>
      </c>
    </row>
    <row r="4" customFormat="false" ht="27.75" hidden="false" customHeight="true" outlineLevel="0" collapsed="false">
      <c r="A4" s="9" t="s">
        <v>46</v>
      </c>
      <c r="B4" s="9" t="s">
        <v>47</v>
      </c>
      <c r="C4" s="9" t="s">
        <v>48</v>
      </c>
      <c r="D4" s="37" t="s">
        <v>49</v>
      </c>
      <c r="E4" s="37" t="s">
        <v>50</v>
      </c>
      <c r="F4" s="38" t="s">
        <v>51</v>
      </c>
      <c r="G4" s="38" t="s">
        <v>52</v>
      </c>
      <c r="H4" s="38" t="s">
        <v>53</v>
      </c>
      <c r="I4" s="38" t="s">
        <v>54</v>
      </c>
      <c r="J4" s="39" t="s">
        <v>55</v>
      </c>
      <c r="K4" s="39" t="s">
        <v>56</v>
      </c>
      <c r="L4" s="39" t="s">
        <v>57</v>
      </c>
      <c r="M4" s="39" t="s">
        <v>58</v>
      </c>
      <c r="N4" s="39" t="s">
        <v>59</v>
      </c>
      <c r="O4" s="39" t="s">
        <v>60</v>
      </c>
      <c r="P4" s="39" t="s">
        <v>61</v>
      </c>
      <c r="Q4" s="39" t="s">
        <v>62</v>
      </c>
      <c r="R4" s="39" t="s">
        <v>63</v>
      </c>
      <c r="S4" s="40" t="s">
        <v>64</v>
      </c>
      <c r="T4" s="40" t="s">
        <v>65</v>
      </c>
      <c r="U4" s="40" t="s">
        <v>66</v>
      </c>
      <c r="V4" s="40" t="s">
        <v>43</v>
      </c>
    </row>
    <row r="5" customFormat="false" ht="15.75" hidden="false" customHeight="true" outlineLevel="0" collapsed="false">
      <c r="A5" s="11" t="n">
        <v>1</v>
      </c>
      <c r="B5" s="11" t="n">
        <v>76</v>
      </c>
      <c r="C5" s="11" t="n">
        <v>159</v>
      </c>
      <c r="D5" s="41" t="n">
        <v>53177</v>
      </c>
      <c r="E5" s="41" t="n">
        <v>48194</v>
      </c>
      <c r="F5" s="41" t="n">
        <v>46880.699</v>
      </c>
      <c r="G5" s="41" t="n">
        <v>45448.028958</v>
      </c>
      <c r="H5" s="42" t="n">
        <v>0.0315232601907549</v>
      </c>
      <c r="I5" s="43" t="s">
        <v>73</v>
      </c>
      <c r="J5" s="41" t="n">
        <v>84859.137</v>
      </c>
      <c r="K5" s="41" t="n">
        <v>89667.4419</v>
      </c>
      <c r="L5" s="41" t="n">
        <v>4989.79945</v>
      </c>
      <c r="M5" s="41" t="n">
        <v>100982.295</v>
      </c>
      <c r="N5" s="44" t="n">
        <v>0.0556478398878021</v>
      </c>
      <c r="O5" s="11" t="n">
        <v>10</v>
      </c>
      <c r="P5" s="45" t="n">
        <v>27.196</v>
      </c>
      <c r="Q5" s="45" t="n">
        <v>697.823</v>
      </c>
      <c r="R5" s="46" t="n">
        <v>198.2</v>
      </c>
      <c r="S5" s="47" t="n">
        <v>0.810108185460289</v>
      </c>
      <c r="T5" s="48" t="n">
        <v>0.760782192804083</v>
      </c>
      <c r="U5" s="48" t="n">
        <v>0.867169</v>
      </c>
      <c r="V5" s="17" t="s">
        <v>28</v>
      </c>
    </row>
    <row r="6" customFormat="false" ht="15.75" hidden="false" customHeight="true" outlineLevel="0" collapsed="false">
      <c r="A6" s="19" t="n">
        <v>2</v>
      </c>
      <c r="B6" s="19" t="n">
        <v>76</v>
      </c>
      <c r="C6" s="19" t="n">
        <v>159</v>
      </c>
      <c r="D6" s="49" t="n">
        <v>135867</v>
      </c>
      <c r="E6" s="49" t="n">
        <v>113038</v>
      </c>
      <c r="F6" s="49" t="n">
        <v>111902.298</v>
      </c>
      <c r="G6" s="49" t="n">
        <v>110607.975981</v>
      </c>
      <c r="H6" s="50" t="n">
        <v>0.0117018868442393</v>
      </c>
      <c r="I6" s="51" t="s">
        <v>73</v>
      </c>
      <c r="J6" s="49" t="n">
        <v>138427.121</v>
      </c>
      <c r="K6" s="49" t="n">
        <v>153895.2554</v>
      </c>
      <c r="L6" s="49" t="n">
        <v>11399.835562</v>
      </c>
      <c r="M6" s="49" t="n">
        <v>170401.892</v>
      </c>
      <c r="N6" s="52" t="n">
        <v>0.0740752892762671</v>
      </c>
      <c r="O6" s="19" t="n">
        <v>10</v>
      </c>
      <c r="P6" s="53" t="n">
        <v>224.211</v>
      </c>
      <c r="Q6" s="53" t="n">
        <v>1065.893</v>
      </c>
      <c r="R6" s="54" t="n">
        <v>220</v>
      </c>
      <c r="S6" s="58" t="n">
        <v>0.237035552210018</v>
      </c>
      <c r="T6" s="56" t="n">
        <v>0.224606955183213</v>
      </c>
      <c r="U6" s="56" t="n">
        <v>0.251511</v>
      </c>
      <c r="V6" s="59" t="s">
        <v>68</v>
      </c>
    </row>
    <row r="7" customFormat="false" ht="15.75" hidden="false" customHeight="true" outlineLevel="0" collapsed="false">
      <c r="A7" s="11" t="n">
        <v>3</v>
      </c>
      <c r="B7" s="11" t="n">
        <v>76</v>
      </c>
      <c r="C7" s="11" t="n">
        <v>159</v>
      </c>
      <c r="D7" s="41" t="n">
        <v>53799</v>
      </c>
      <c r="E7" s="41" t="n">
        <v>51280</v>
      </c>
      <c r="F7" s="41" t="n">
        <v>49468.889</v>
      </c>
      <c r="G7" s="41" t="n">
        <v>48583.051269</v>
      </c>
      <c r="H7" s="42" t="n">
        <v>0.0182334725354156</v>
      </c>
      <c r="I7" s="43" t="s">
        <v>73</v>
      </c>
      <c r="J7" s="41" t="n">
        <v>80210.725</v>
      </c>
      <c r="K7" s="41" t="n">
        <v>83068.5813</v>
      </c>
      <c r="L7" s="41" t="n">
        <v>2765.865545</v>
      </c>
      <c r="M7" s="41" t="n">
        <v>87486.46</v>
      </c>
      <c r="N7" s="44" t="n">
        <v>0.0332961692822362</v>
      </c>
      <c r="O7" s="11" t="n">
        <v>10</v>
      </c>
      <c r="P7" s="45" t="n">
        <v>15.026</v>
      </c>
      <c r="Q7" s="45" t="n">
        <v>443.336</v>
      </c>
      <c r="R7" s="46" t="n">
        <v>197.4</v>
      </c>
      <c r="S7" s="47" t="n">
        <v>0.621437768695392</v>
      </c>
      <c r="T7" s="48" t="n">
        <v>0.564171704368175</v>
      </c>
      <c r="U7" s="48" t="n">
        <v>0.651002</v>
      </c>
      <c r="V7" s="17" t="s">
        <v>28</v>
      </c>
    </row>
    <row r="8" customFormat="false" ht="15.75" hidden="false" customHeight="true" outlineLevel="0" collapsed="false">
      <c r="A8" s="19" t="n">
        <v>4</v>
      </c>
      <c r="B8" s="19" t="n">
        <v>76</v>
      </c>
      <c r="C8" s="19" t="n">
        <v>159</v>
      </c>
      <c r="D8" s="49" t="n">
        <v>156429</v>
      </c>
      <c r="E8" s="49" t="n">
        <v>142947</v>
      </c>
      <c r="F8" s="49" t="n">
        <v>137435.102</v>
      </c>
      <c r="G8" s="49" t="n">
        <v>136586.18608</v>
      </c>
      <c r="H8" s="50" t="n">
        <v>0.00621523994749206</v>
      </c>
      <c r="I8" s="51" t="s">
        <v>73</v>
      </c>
      <c r="J8" s="49" t="n">
        <v>175884.943</v>
      </c>
      <c r="K8" s="49" t="n">
        <v>185326.7338</v>
      </c>
      <c r="L8" s="49" t="n">
        <v>4521.014862</v>
      </c>
      <c r="M8" s="49" t="n">
        <v>190046.128</v>
      </c>
      <c r="N8" s="52" t="n">
        <v>0.0243948337581936</v>
      </c>
      <c r="O8" s="19" t="n">
        <v>10</v>
      </c>
      <c r="P8" s="53" t="n">
        <v>234.161</v>
      </c>
      <c r="Q8" s="53" t="n">
        <v>1060.677</v>
      </c>
      <c r="R8" s="54" t="n">
        <v>227.9</v>
      </c>
      <c r="S8" s="58" t="n">
        <v>0.279767253346965</v>
      </c>
      <c r="T8" s="56" t="n">
        <v>0.230420666400834</v>
      </c>
      <c r="U8" s="56" t="n">
        <v>0.287721</v>
      </c>
      <c r="V8" s="59" t="s">
        <v>68</v>
      </c>
    </row>
    <row r="9" customFormat="false" ht="15.75" hidden="false" customHeight="true" outlineLevel="0" collapsed="false">
      <c r="A9" s="11" t="n">
        <v>5</v>
      </c>
      <c r="B9" s="11" t="n">
        <v>76</v>
      </c>
      <c r="C9" s="11" t="n">
        <v>159</v>
      </c>
      <c r="D9" s="41" t="n">
        <v>49294</v>
      </c>
      <c r="E9" s="41" t="n">
        <v>43649</v>
      </c>
      <c r="F9" s="41" t="n">
        <v>43396.022</v>
      </c>
      <c r="G9" s="41" t="n">
        <v>42873.136315</v>
      </c>
      <c r="H9" s="42" t="n">
        <v>0.012196114628942</v>
      </c>
      <c r="I9" s="43" t="s">
        <v>73</v>
      </c>
      <c r="J9" s="41" t="n">
        <v>65546.131</v>
      </c>
      <c r="K9" s="41" t="n">
        <v>74736.8812</v>
      </c>
      <c r="L9" s="41" t="n">
        <v>5244.410467</v>
      </c>
      <c r="M9" s="41" t="n">
        <v>82431.189</v>
      </c>
      <c r="N9" s="44" t="n">
        <v>0.0701716526404904</v>
      </c>
      <c r="O9" s="11" t="n">
        <v>10</v>
      </c>
      <c r="P9" s="45" t="n">
        <v>30.353</v>
      </c>
      <c r="Q9" s="45" t="n">
        <v>654.632</v>
      </c>
      <c r="R9" s="46" t="n">
        <v>203.1</v>
      </c>
      <c r="S9" s="47" t="n">
        <v>0.510417959507901</v>
      </c>
      <c r="T9" s="48" t="n">
        <v>0.50166397855621</v>
      </c>
      <c r="U9" s="48" t="n">
        <v>0.528839</v>
      </c>
      <c r="V9" s="17" t="s">
        <v>28</v>
      </c>
    </row>
    <row r="10" customFormat="false" ht="15.75" hidden="false" customHeight="true" outlineLevel="0" collapsed="false">
      <c r="A10" s="19" t="n">
        <v>6</v>
      </c>
      <c r="B10" s="19" t="n">
        <v>76</v>
      </c>
      <c r="C10" s="19" t="n">
        <v>159</v>
      </c>
      <c r="D10" s="49" t="n">
        <v>106171</v>
      </c>
      <c r="E10" s="49" t="n">
        <v>101095</v>
      </c>
      <c r="F10" s="49" t="n">
        <v>76811.29</v>
      </c>
      <c r="G10" s="49" t="n">
        <v>75649.648206</v>
      </c>
      <c r="H10" s="50" t="n">
        <v>0.0153555478650311</v>
      </c>
      <c r="I10" s="51" t="s">
        <v>73</v>
      </c>
      <c r="J10" s="49" t="n">
        <v>93470.445</v>
      </c>
      <c r="K10" s="49" t="n">
        <v>106678.5215</v>
      </c>
      <c r="L10" s="49" t="n">
        <v>5979.01777</v>
      </c>
      <c r="M10" s="49" t="n">
        <v>115341.902</v>
      </c>
      <c r="N10" s="52" t="n">
        <v>0.0560470625757595</v>
      </c>
      <c r="O10" s="19" t="n">
        <v>10</v>
      </c>
      <c r="P10" s="53" t="n">
        <v>71.979</v>
      </c>
      <c r="Q10" s="53" t="n">
        <v>677.729</v>
      </c>
      <c r="R10" s="54" t="n">
        <v>192.2</v>
      </c>
      <c r="S10" s="58" t="n">
        <v>0.216884197622511</v>
      </c>
      <c r="T10" s="70" t="n">
        <v>-0.0754197042385874</v>
      </c>
      <c r="U10" s="56" t="n">
        <v>0.23557</v>
      </c>
      <c r="V10" s="59" t="s">
        <v>68</v>
      </c>
    </row>
    <row r="11" customFormat="false" ht="15.75" hidden="false" customHeight="true" outlineLevel="0" collapsed="false">
      <c r="A11" s="11" t="n">
        <v>7</v>
      </c>
      <c r="B11" s="11" t="n">
        <v>76</v>
      </c>
      <c r="C11" s="11" t="n">
        <v>159</v>
      </c>
      <c r="D11" s="41" t="n">
        <v>51747</v>
      </c>
      <c r="E11" s="41" t="n">
        <v>21049</v>
      </c>
      <c r="F11" s="41" t="n">
        <v>19759.389</v>
      </c>
      <c r="G11" s="41" t="n">
        <v>16244.250381</v>
      </c>
      <c r="H11" s="42" t="n">
        <v>0.216392787389652</v>
      </c>
      <c r="I11" s="43" t="s">
        <v>73</v>
      </c>
      <c r="J11" s="41" t="n">
        <v>37988.441</v>
      </c>
      <c r="K11" s="41" t="n">
        <v>44841.4432</v>
      </c>
      <c r="L11" s="41" t="n">
        <v>4423.983732</v>
      </c>
      <c r="M11" s="41" t="n">
        <v>51659.03</v>
      </c>
      <c r="N11" s="44" t="n">
        <v>0.0986583708349512</v>
      </c>
      <c r="O11" s="11" t="n">
        <v>10</v>
      </c>
      <c r="P11" s="45" t="n">
        <v>91.207</v>
      </c>
      <c r="Q11" s="45" t="n">
        <v>740.746</v>
      </c>
      <c r="R11" s="46" t="n">
        <v>187.2</v>
      </c>
      <c r="S11" s="47" t="n">
        <v>0.922551400754345</v>
      </c>
      <c r="T11" s="48" t="n">
        <v>0.804762268991401</v>
      </c>
      <c r="U11" s="48" t="n">
        <v>1.338578</v>
      </c>
      <c r="V11" s="17" t="s">
        <v>28</v>
      </c>
    </row>
    <row r="12" customFormat="false" ht="15.75" hidden="false" customHeight="true" outlineLevel="0" collapsed="false">
      <c r="A12" s="19" t="n">
        <v>8</v>
      </c>
      <c r="B12" s="19" t="n">
        <v>76</v>
      </c>
      <c r="C12" s="19" t="n">
        <v>159</v>
      </c>
      <c r="D12" s="49" t="n">
        <v>187843</v>
      </c>
      <c r="E12" s="49" t="n">
        <v>177033</v>
      </c>
      <c r="F12" s="49" t="n">
        <v>174700.915</v>
      </c>
      <c r="G12" s="49" t="n">
        <v>174178.666981</v>
      </c>
      <c r="H12" s="50" t="n">
        <v>0.00299834662907938</v>
      </c>
      <c r="I12" s="51" t="s">
        <v>73</v>
      </c>
      <c r="J12" s="49" t="n">
        <v>220622.768</v>
      </c>
      <c r="K12" s="49" t="n">
        <v>247452.0466</v>
      </c>
      <c r="L12" s="49" t="n">
        <v>10646.605119</v>
      </c>
      <c r="M12" s="49" t="n">
        <v>257807.982</v>
      </c>
      <c r="N12" s="52" t="n">
        <v>0.0430249224659272</v>
      </c>
      <c r="O12" s="19" t="n">
        <v>10</v>
      </c>
      <c r="P12" s="53" t="n">
        <v>63.737</v>
      </c>
      <c r="Q12" s="53" t="n">
        <v>1115.19</v>
      </c>
      <c r="R12" s="54" t="n">
        <v>210.8</v>
      </c>
      <c r="S12" s="58" t="n">
        <v>0.262859831043243</v>
      </c>
      <c r="T12" s="56" t="n">
        <v>0.246223969542402</v>
      </c>
      <c r="U12" s="56" t="n">
        <v>0.266646</v>
      </c>
      <c r="V12" s="59" t="s">
        <v>68</v>
      </c>
    </row>
    <row r="13" customFormat="false" ht="15.75" hidden="false" customHeight="true" outlineLevel="0" collapsed="false">
      <c r="A13" s="11" t="n">
        <v>9</v>
      </c>
      <c r="B13" s="11" t="n">
        <v>76</v>
      </c>
      <c r="C13" s="11" t="n">
        <v>159</v>
      </c>
      <c r="D13" s="41" t="n">
        <v>29648</v>
      </c>
      <c r="E13" s="41" t="n">
        <v>28583</v>
      </c>
      <c r="F13" s="41" t="n">
        <v>24689.228</v>
      </c>
      <c r="G13" s="41" t="n">
        <v>23391.565429</v>
      </c>
      <c r="H13" s="42" t="n">
        <v>0.0554756617268208</v>
      </c>
      <c r="I13" s="43" t="s">
        <v>73</v>
      </c>
      <c r="J13" s="41" t="n">
        <v>46549.061</v>
      </c>
      <c r="K13" s="41" t="n">
        <v>50457.9224</v>
      </c>
      <c r="L13" s="41" t="n">
        <v>2467.828146</v>
      </c>
      <c r="M13" s="41" t="n">
        <v>53926.487</v>
      </c>
      <c r="N13" s="44" t="n">
        <v>0.0489086357229801</v>
      </c>
      <c r="O13" s="11" t="n">
        <v>10</v>
      </c>
      <c r="P13" s="45" t="n">
        <v>193.511</v>
      </c>
      <c r="Q13" s="45" t="n">
        <v>1086.796</v>
      </c>
      <c r="R13" s="46" t="n">
        <v>188.2</v>
      </c>
      <c r="S13" s="47" t="n">
        <v>0.885399616383307</v>
      </c>
      <c r="T13" s="48" t="n">
        <v>0.62855756918448</v>
      </c>
      <c r="U13" s="48" t="n">
        <v>0.989993</v>
      </c>
      <c r="V13" s="17" t="s">
        <v>28</v>
      </c>
    </row>
    <row r="14" customFormat="false" ht="15.75" hidden="false" customHeight="true" outlineLevel="0" collapsed="false">
      <c r="A14" s="19" t="n">
        <v>10</v>
      </c>
      <c r="B14" s="19" t="n">
        <v>76</v>
      </c>
      <c r="C14" s="19" t="n">
        <v>159</v>
      </c>
      <c r="D14" s="49" t="n">
        <v>17531</v>
      </c>
      <c r="E14" s="49" t="n">
        <v>14472</v>
      </c>
      <c r="F14" s="49" t="n">
        <v>13375.333</v>
      </c>
      <c r="G14" s="49" t="n">
        <v>12515.283732</v>
      </c>
      <c r="H14" s="50" t="n">
        <v>0.0687199176955903</v>
      </c>
      <c r="I14" s="51" t="s">
        <v>73</v>
      </c>
      <c r="J14" s="49" t="n">
        <v>36754.107</v>
      </c>
      <c r="K14" s="49" t="n">
        <v>45072.8832</v>
      </c>
      <c r="L14" s="49" t="n">
        <v>5530.862545</v>
      </c>
      <c r="M14" s="49" t="n">
        <v>54231.138</v>
      </c>
      <c r="N14" s="52" t="n">
        <v>0.12270931327952</v>
      </c>
      <c r="O14" s="19" t="n">
        <v>10</v>
      </c>
      <c r="P14" s="53" t="n">
        <v>366.719</v>
      </c>
      <c r="Q14" s="53" t="n">
        <v>1151.216</v>
      </c>
      <c r="R14" s="54" t="n">
        <v>198.5</v>
      </c>
      <c r="S14" s="47" t="n">
        <v>1.74790220176201</v>
      </c>
      <c r="T14" s="56" t="n">
        <v>1.5396701907131</v>
      </c>
      <c r="U14" s="56" t="n">
        <v>1.936738</v>
      </c>
      <c r="V14" s="17" t="s">
        <v>28</v>
      </c>
    </row>
    <row r="15" customFormat="false" ht="18" hidden="false" customHeight="true" outlineLevel="0" collapsed="false">
      <c r="A15" s="32" t="s">
        <v>70</v>
      </c>
      <c r="B15" s="32"/>
      <c r="C15" s="32"/>
      <c r="D15" s="61" t="n">
        <f aca="false">AVERAGE(D5:D14)</f>
        <v>84150.6</v>
      </c>
      <c r="E15" s="61" t="n">
        <f aca="false">AVERAGE(E5:E14)</f>
        <v>74134</v>
      </c>
      <c r="F15" s="61" t="n">
        <f aca="false">AVERAGE(F5:F14)</f>
        <v>69841.9165</v>
      </c>
      <c r="G15" s="61" t="n">
        <f aca="false">AVERAGE(G5:G14)</f>
        <v>68607.7793332</v>
      </c>
      <c r="H15" s="62" t="n">
        <f aca="false">AVERAGE(H5:H14)</f>
        <v>0.0438812235453017</v>
      </c>
      <c r="I15" s="26"/>
      <c r="J15" s="61" t="n">
        <f aca="false">AVERAGE(J5:J14)</f>
        <v>98031.2879</v>
      </c>
      <c r="K15" s="61" t="n">
        <f aca="false">AVERAGE(K5:K14)</f>
        <v>108119.77105</v>
      </c>
      <c r="L15" s="61" t="n">
        <f aca="false">AVERAGE(L5:L14)</f>
        <v>5796.9223198</v>
      </c>
      <c r="M15" s="61" t="n">
        <f aca="false">AVERAGE(M5:M14)</f>
        <v>116431.4503</v>
      </c>
      <c r="N15" s="63" t="n">
        <f aca="false">AVERAGE(N5:N14)</f>
        <v>0.0626934089724127</v>
      </c>
      <c r="O15" s="64" t="n">
        <v>10</v>
      </c>
      <c r="P15" s="65" t="n">
        <f aca="false">AVERAGE(P5:P14)</f>
        <v>131.81</v>
      </c>
      <c r="Q15" s="65" t="n">
        <f aca="false">AVERAGE(Q5:Q14)</f>
        <v>869.4038</v>
      </c>
      <c r="R15" s="66" t="n">
        <f aca="false">AVERAGE(R5:R14)</f>
        <v>202.35</v>
      </c>
      <c r="S15" s="67" t="n">
        <f aca="false">AVERAGE(S5:S14)</f>
        <v>0.649436396678598</v>
      </c>
      <c r="T15" s="67" t="n">
        <f aca="false">AVERAGE(T5:T14)</f>
        <v>0.542543979150531</v>
      </c>
      <c r="U15" s="67" t="n">
        <f aca="false">AVERAGE(U5:U14)</f>
        <v>0.7353767</v>
      </c>
      <c r="V15" s="32"/>
    </row>
    <row r="17" customFormat="false" ht="27.75" hidden="false" customHeight="true" outlineLevel="0" collapsed="false">
      <c r="A17" s="30" t="s">
        <v>71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</row>
  </sheetData>
  <mergeCells count="6">
    <mergeCell ref="A1:V1"/>
    <mergeCell ref="D3:E3"/>
    <mergeCell ref="F3:I3"/>
    <mergeCell ref="J3:R3"/>
    <mergeCell ref="S3:U3"/>
    <mergeCell ref="A17:V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7"/>
    <col collapsed="false" customWidth="true" hidden="false" outlineLevel="0" max="3" min="3" style="1" width="8"/>
    <col collapsed="false" customWidth="true" hidden="false" outlineLevel="0" max="7" min="4" style="1" width="13"/>
    <col collapsed="false" customWidth="true" hidden="false" outlineLevel="0" max="8" min="8" style="1" width="10"/>
    <col collapsed="false" customWidth="true" hidden="false" outlineLevel="0" max="9" min="9" style="1" width="18"/>
    <col collapsed="false" customWidth="true" hidden="false" outlineLevel="0" max="11" min="10" style="1" width="13"/>
    <col collapsed="false" customWidth="true" hidden="false" outlineLevel="0" max="12" min="12" style="1" width="11"/>
    <col collapsed="false" customWidth="true" hidden="false" outlineLevel="0" max="13" min="13" style="1" width="13"/>
    <col collapsed="false" customWidth="true" hidden="false" outlineLevel="0" max="14" min="14" style="1" width="9"/>
    <col collapsed="false" customWidth="true" hidden="false" outlineLevel="0" max="15" min="15" style="1" width="6"/>
    <col collapsed="false" customWidth="true" hidden="false" outlineLevel="0" max="17" min="16" style="1" width="12"/>
    <col collapsed="false" customWidth="true" hidden="false" outlineLevel="0" max="18" min="18" style="1" width="11"/>
    <col collapsed="false" customWidth="true" hidden="false" outlineLevel="0" max="19" min="19" style="1" width="13"/>
    <col collapsed="false" customWidth="true" hidden="false" outlineLevel="0" max="20" min="20" style="1" width="14"/>
    <col collapsed="false" customWidth="true" hidden="false" outlineLevel="0" max="21" min="21" style="1" width="13"/>
    <col collapsed="false" customWidth="true" hidden="false" outlineLevel="0" max="22" min="22" style="1" width="15"/>
  </cols>
  <sheetData>
    <row r="1" customFormat="false" ht="21.75" hidden="false" customHeight="true" outlineLevel="0" collapsed="false">
      <c r="A1" s="31" t="s">
        <v>76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</row>
    <row r="2" customFormat="false" ht="7.5" hidden="false" customHeight="true" outlineLevel="0" collapsed="false"/>
    <row r="3" customFormat="false" ht="13.5" hidden="false" customHeight="true" outlineLevel="0" collapsed="false">
      <c r="A3" s="32" t="s">
        <v>39</v>
      </c>
      <c r="B3" s="32" t="s">
        <v>40</v>
      </c>
      <c r="C3" s="32" t="s">
        <v>41</v>
      </c>
      <c r="D3" s="33" t="s">
        <v>3</v>
      </c>
      <c r="E3" s="33"/>
      <c r="F3" s="34" t="s">
        <v>42</v>
      </c>
      <c r="G3" s="34"/>
      <c r="H3" s="34"/>
      <c r="I3" s="34"/>
      <c r="J3" s="35" t="s">
        <v>43</v>
      </c>
      <c r="K3" s="35"/>
      <c r="L3" s="35"/>
      <c r="M3" s="35"/>
      <c r="N3" s="35"/>
      <c r="O3" s="35"/>
      <c r="P3" s="35"/>
      <c r="Q3" s="35"/>
      <c r="R3" s="35"/>
      <c r="S3" s="36" t="s">
        <v>44</v>
      </c>
      <c r="T3" s="36"/>
      <c r="U3" s="36"/>
      <c r="V3" s="36" t="s">
        <v>45</v>
      </c>
    </row>
    <row r="4" customFormat="false" ht="27.75" hidden="false" customHeight="true" outlineLevel="0" collapsed="false">
      <c r="A4" s="9" t="s">
        <v>46</v>
      </c>
      <c r="B4" s="9" t="s">
        <v>47</v>
      </c>
      <c r="C4" s="9" t="s">
        <v>48</v>
      </c>
      <c r="D4" s="37" t="s">
        <v>49</v>
      </c>
      <c r="E4" s="37" t="s">
        <v>50</v>
      </c>
      <c r="F4" s="38" t="s">
        <v>51</v>
      </c>
      <c r="G4" s="38" t="s">
        <v>52</v>
      </c>
      <c r="H4" s="38" t="s">
        <v>53</v>
      </c>
      <c r="I4" s="38" t="s">
        <v>54</v>
      </c>
      <c r="J4" s="39" t="s">
        <v>55</v>
      </c>
      <c r="K4" s="39" t="s">
        <v>56</v>
      </c>
      <c r="L4" s="39" t="s">
        <v>57</v>
      </c>
      <c r="M4" s="39" t="s">
        <v>58</v>
      </c>
      <c r="N4" s="39" t="s">
        <v>59</v>
      </c>
      <c r="O4" s="39" t="s">
        <v>60</v>
      </c>
      <c r="P4" s="39" t="s">
        <v>61</v>
      </c>
      <c r="Q4" s="39" t="s">
        <v>62</v>
      </c>
      <c r="R4" s="39" t="s">
        <v>63</v>
      </c>
      <c r="S4" s="40" t="s">
        <v>64</v>
      </c>
      <c r="T4" s="40" t="s">
        <v>65</v>
      </c>
      <c r="U4" s="40" t="s">
        <v>66</v>
      </c>
      <c r="V4" s="40" t="s">
        <v>43</v>
      </c>
    </row>
    <row r="5" customFormat="false" ht="15.75" hidden="false" customHeight="true" outlineLevel="0" collapsed="false">
      <c r="A5" s="11" t="n">
        <v>1</v>
      </c>
      <c r="B5" s="11" t="n">
        <v>95</v>
      </c>
      <c r="C5" s="11" t="n">
        <v>159</v>
      </c>
      <c r="D5" s="41" t="n">
        <v>56062</v>
      </c>
      <c r="E5" s="41" t="n">
        <v>50978</v>
      </c>
      <c r="F5" s="41" t="n">
        <v>50531.718</v>
      </c>
      <c r="G5" s="41" t="n">
        <v>47662.707147</v>
      </c>
      <c r="H5" s="42" t="n">
        <v>0.0601940390031031</v>
      </c>
      <c r="I5" s="43" t="s">
        <v>73</v>
      </c>
      <c r="J5" s="41" t="n">
        <v>85971.92</v>
      </c>
      <c r="K5" s="41" t="n">
        <v>100995.0926</v>
      </c>
      <c r="L5" s="41" t="n">
        <v>6965.544368</v>
      </c>
      <c r="M5" s="41" t="n">
        <v>108561.203</v>
      </c>
      <c r="N5" s="44" t="n">
        <v>0.0689691369024003</v>
      </c>
      <c r="O5" s="11" t="n">
        <v>10</v>
      </c>
      <c r="P5" s="45" t="n">
        <v>99.234</v>
      </c>
      <c r="Q5" s="45" t="n">
        <v>550.992</v>
      </c>
      <c r="R5" s="46" t="n">
        <v>139.6</v>
      </c>
      <c r="S5" s="47" t="n">
        <v>0.701345677580169</v>
      </c>
      <c r="T5" s="48" t="n">
        <v>0.686451410412335</v>
      </c>
      <c r="U5" s="48" t="n">
        <v>0.803757</v>
      </c>
      <c r="V5" s="17" t="s">
        <v>28</v>
      </c>
    </row>
    <row r="6" customFormat="false" ht="15.75" hidden="false" customHeight="true" outlineLevel="0" collapsed="false">
      <c r="A6" s="19" t="n">
        <v>2</v>
      </c>
      <c r="B6" s="19" t="n">
        <v>95</v>
      </c>
      <c r="C6" s="19" t="n">
        <v>159</v>
      </c>
      <c r="D6" s="49" t="n">
        <v>135533</v>
      </c>
      <c r="E6" s="49" t="n">
        <v>119149</v>
      </c>
      <c r="F6" s="49" t="n">
        <v>116740.099</v>
      </c>
      <c r="G6" s="49" t="n">
        <v>112895.17708</v>
      </c>
      <c r="H6" s="50" t="n">
        <v>0.0340574506320621</v>
      </c>
      <c r="I6" s="51" t="s">
        <v>73</v>
      </c>
      <c r="J6" s="49" t="n">
        <v>171441.287</v>
      </c>
      <c r="K6" s="49" t="n">
        <v>182218.5989</v>
      </c>
      <c r="L6" s="49" t="n">
        <v>6146.817433</v>
      </c>
      <c r="M6" s="49" t="n">
        <v>192088.069</v>
      </c>
      <c r="N6" s="52" t="n">
        <v>0.0337332054472295</v>
      </c>
      <c r="O6" s="19" t="n">
        <v>10</v>
      </c>
      <c r="P6" s="53" t="n">
        <v>8.695</v>
      </c>
      <c r="Q6" s="53" t="n">
        <v>614.413</v>
      </c>
      <c r="R6" s="54" t="n">
        <v>154.8</v>
      </c>
      <c r="S6" s="47" t="n">
        <v>0.468572396876244</v>
      </c>
      <c r="T6" s="56" t="n">
        <v>0.438881459349218</v>
      </c>
      <c r="U6" s="56" t="n">
        <v>0.518588</v>
      </c>
      <c r="V6" s="17" t="s">
        <v>28</v>
      </c>
    </row>
    <row r="7" customFormat="false" ht="15.75" hidden="false" customHeight="true" outlineLevel="0" collapsed="false">
      <c r="A7" s="11" t="n">
        <v>3</v>
      </c>
      <c r="B7" s="11" t="n">
        <v>95</v>
      </c>
      <c r="C7" s="11" t="n">
        <v>159</v>
      </c>
      <c r="D7" s="41" t="n">
        <v>74648</v>
      </c>
      <c r="E7" s="41" t="n">
        <v>63716</v>
      </c>
      <c r="F7" s="41" t="n">
        <v>53570.461</v>
      </c>
      <c r="G7" s="41" t="n">
        <v>51461.815644</v>
      </c>
      <c r="H7" s="42" t="n">
        <v>0.0409749506427656</v>
      </c>
      <c r="I7" s="43" t="s">
        <v>73</v>
      </c>
      <c r="J7" s="41" t="n">
        <v>87932.083</v>
      </c>
      <c r="K7" s="41" t="n">
        <v>95527.2692</v>
      </c>
      <c r="L7" s="41" t="n">
        <v>4589.012614</v>
      </c>
      <c r="M7" s="41" t="n">
        <v>104196.425</v>
      </c>
      <c r="N7" s="44" t="n">
        <v>0.0480387710486337</v>
      </c>
      <c r="O7" s="11" t="n">
        <v>10</v>
      </c>
      <c r="P7" s="45" t="n">
        <v>73.738</v>
      </c>
      <c r="Q7" s="45" t="n">
        <v>802.026</v>
      </c>
      <c r="R7" s="46" t="n">
        <v>138.8</v>
      </c>
      <c r="S7" s="47" t="n">
        <v>0.641428529054473</v>
      </c>
      <c r="T7" s="48" t="n">
        <v>0.380062825663883</v>
      </c>
      <c r="U7" s="48" t="n">
        <v>0.708686</v>
      </c>
      <c r="V7" s="17" t="s">
        <v>28</v>
      </c>
    </row>
    <row r="8" customFormat="false" ht="15.75" hidden="false" customHeight="true" outlineLevel="0" collapsed="false">
      <c r="A8" s="19" t="n">
        <v>4</v>
      </c>
      <c r="B8" s="19" t="n">
        <v>95</v>
      </c>
      <c r="C8" s="19" t="n">
        <v>159</v>
      </c>
      <c r="D8" s="49" t="n">
        <v>157738</v>
      </c>
      <c r="E8" s="49" t="n">
        <v>143592</v>
      </c>
      <c r="F8" s="49" t="n">
        <v>141043.753</v>
      </c>
      <c r="G8" s="49" t="n">
        <v>138997.565845</v>
      </c>
      <c r="H8" s="50" t="n">
        <v>0.0147210286925582</v>
      </c>
      <c r="I8" s="51" t="s">
        <v>73</v>
      </c>
      <c r="J8" s="49" t="n">
        <v>181417.469</v>
      </c>
      <c r="K8" s="49" t="n">
        <v>195090.1536</v>
      </c>
      <c r="L8" s="49" t="n">
        <v>8650.724992</v>
      </c>
      <c r="M8" s="49" t="n">
        <v>204419.165</v>
      </c>
      <c r="N8" s="52" t="n">
        <v>0.0443421917117195</v>
      </c>
      <c r="O8" s="19" t="n">
        <v>10</v>
      </c>
      <c r="P8" s="53" t="n">
        <v>35.718</v>
      </c>
      <c r="Q8" s="53" t="n">
        <v>567.859</v>
      </c>
      <c r="R8" s="54" t="n">
        <v>158.9</v>
      </c>
      <c r="S8" s="58" t="n">
        <v>0.286249586679674</v>
      </c>
      <c r="T8" s="56" t="n">
        <v>0.263423233884896</v>
      </c>
      <c r="U8" s="56" t="n">
        <v>0.305185</v>
      </c>
      <c r="V8" s="59" t="s">
        <v>68</v>
      </c>
    </row>
    <row r="9" customFormat="false" ht="15.75" hidden="false" customHeight="true" outlineLevel="0" collapsed="false">
      <c r="A9" s="11" t="n">
        <v>5</v>
      </c>
      <c r="B9" s="11" t="n">
        <v>95</v>
      </c>
      <c r="C9" s="11" t="n">
        <v>159</v>
      </c>
      <c r="D9" s="41" t="n">
        <v>81161</v>
      </c>
      <c r="E9" s="41" t="n">
        <v>53869</v>
      </c>
      <c r="F9" s="41" t="n">
        <v>46138.191</v>
      </c>
      <c r="G9" s="41" t="n">
        <v>45181.148493</v>
      </c>
      <c r="H9" s="42" t="n">
        <v>0.0211823412844026</v>
      </c>
      <c r="I9" s="43" t="s">
        <v>73</v>
      </c>
      <c r="J9" s="41" t="n">
        <v>71430.749</v>
      </c>
      <c r="K9" s="41" t="n">
        <v>82527.0001</v>
      </c>
      <c r="L9" s="41" t="n">
        <v>6612.259974</v>
      </c>
      <c r="M9" s="41" t="n">
        <v>91767.323</v>
      </c>
      <c r="N9" s="44" t="n">
        <v>0.0801223837772821</v>
      </c>
      <c r="O9" s="11" t="n">
        <v>10</v>
      </c>
      <c r="P9" s="45" t="n">
        <v>109.362</v>
      </c>
      <c r="Q9" s="45" t="n">
        <v>609.755</v>
      </c>
      <c r="R9" s="46" t="n">
        <v>141.6</v>
      </c>
      <c r="S9" s="47" t="n">
        <v>0.548191367104098</v>
      </c>
      <c r="T9" s="48" t="n">
        <v>0.326008446416306</v>
      </c>
      <c r="U9" s="48" t="n">
        <v>0.580986</v>
      </c>
      <c r="V9" s="17" t="s">
        <v>28</v>
      </c>
    </row>
    <row r="10" customFormat="false" ht="15.75" hidden="false" customHeight="true" outlineLevel="0" collapsed="false">
      <c r="A10" s="19" t="n">
        <v>6</v>
      </c>
      <c r="B10" s="19" t="n">
        <v>95</v>
      </c>
      <c r="C10" s="19" t="n">
        <v>159</v>
      </c>
      <c r="D10" s="49" t="n">
        <v>162390</v>
      </c>
      <c r="E10" s="49" t="n">
        <v>83364</v>
      </c>
      <c r="F10" s="49" t="n">
        <v>80682.046</v>
      </c>
      <c r="G10" s="49" t="n">
        <v>77922.383059</v>
      </c>
      <c r="H10" s="50" t="n">
        <v>0.0354155357249596</v>
      </c>
      <c r="I10" s="51" t="s">
        <v>73</v>
      </c>
      <c r="J10" s="49" t="n">
        <v>106434.55</v>
      </c>
      <c r="K10" s="49" t="n">
        <v>116533.9595</v>
      </c>
      <c r="L10" s="49" t="n">
        <v>6274.523002</v>
      </c>
      <c r="M10" s="49" t="n">
        <v>127176.985</v>
      </c>
      <c r="N10" s="52" t="n">
        <v>0.0538428714592848</v>
      </c>
      <c r="O10" s="19" t="n">
        <v>10</v>
      </c>
      <c r="P10" s="53" t="n">
        <v>196.882</v>
      </c>
      <c r="Q10" s="53" t="n">
        <v>819.666</v>
      </c>
      <c r="R10" s="54" t="n">
        <v>134.7</v>
      </c>
      <c r="S10" s="47" t="n">
        <v>0.319185063799696</v>
      </c>
      <c r="T10" s="56" t="n">
        <v>0.276744757929082</v>
      </c>
      <c r="U10" s="56" t="n">
        <v>0.365905</v>
      </c>
      <c r="V10" s="17" t="s">
        <v>28</v>
      </c>
    </row>
    <row r="11" customFormat="false" ht="15.75" hidden="false" customHeight="true" outlineLevel="0" collapsed="false">
      <c r="A11" s="11" t="n">
        <v>7</v>
      </c>
      <c r="B11" s="11" t="n">
        <v>95</v>
      </c>
      <c r="C11" s="11" t="n">
        <v>159</v>
      </c>
      <c r="D11" s="41" t="n">
        <v>52789</v>
      </c>
      <c r="E11" s="41" t="n">
        <v>31836</v>
      </c>
      <c r="F11" s="41" t="n">
        <v>22166.183</v>
      </c>
      <c r="G11" s="41" t="n">
        <v>18546.29353</v>
      </c>
      <c r="H11" s="42" t="n">
        <v>0.195181288603276</v>
      </c>
      <c r="I11" s="43" t="s">
        <v>73</v>
      </c>
      <c r="J11" s="41" t="n">
        <v>50024.776</v>
      </c>
      <c r="K11" s="41" t="n">
        <v>56754.2575</v>
      </c>
      <c r="L11" s="41" t="n">
        <v>3504.144404</v>
      </c>
      <c r="M11" s="41" t="n">
        <v>60794.858</v>
      </c>
      <c r="N11" s="44" t="n">
        <v>0.0617424059155386</v>
      </c>
      <c r="O11" s="11" t="n">
        <v>10</v>
      </c>
      <c r="P11" s="45" t="n">
        <v>285.256</v>
      </c>
      <c r="Q11" s="45" t="n">
        <v>1027.089</v>
      </c>
      <c r="R11" s="46" t="n">
        <v>132.4</v>
      </c>
      <c r="S11" s="47" t="n">
        <v>1.25680605452008</v>
      </c>
      <c r="T11" s="48" t="n">
        <v>0.571327302424928</v>
      </c>
      <c r="U11" s="48" t="n">
        <v>1.697292</v>
      </c>
      <c r="V11" s="17" t="s">
        <v>28</v>
      </c>
    </row>
    <row r="12" customFormat="false" ht="15.75" hidden="false" customHeight="true" outlineLevel="0" collapsed="false">
      <c r="A12" s="19" t="n">
        <v>8</v>
      </c>
      <c r="B12" s="19" t="n">
        <v>95</v>
      </c>
      <c r="C12" s="19" t="n">
        <v>159</v>
      </c>
      <c r="D12" s="49" t="n">
        <v>219256</v>
      </c>
      <c r="E12" s="49" t="n">
        <v>192441</v>
      </c>
      <c r="F12" s="49" t="n">
        <v>177536.272</v>
      </c>
      <c r="G12" s="49" t="n">
        <v>175931.402325</v>
      </c>
      <c r="H12" s="50" t="n">
        <v>0.00912213313706953</v>
      </c>
      <c r="I12" s="51" t="s">
        <v>73</v>
      </c>
      <c r="J12" s="49" t="n">
        <v>253991.037</v>
      </c>
      <c r="K12" s="49" t="n">
        <v>264877.4125</v>
      </c>
      <c r="L12" s="49" t="n">
        <v>6009.141198</v>
      </c>
      <c r="M12" s="49" t="n">
        <v>272785.766</v>
      </c>
      <c r="N12" s="52" t="n">
        <v>0.0226864991668552</v>
      </c>
      <c r="O12" s="19" t="n">
        <v>10</v>
      </c>
      <c r="P12" s="53" t="n">
        <v>49.797</v>
      </c>
      <c r="Q12" s="53" t="n">
        <v>761.511</v>
      </c>
      <c r="R12" s="54" t="n">
        <v>145.9</v>
      </c>
      <c r="S12" s="47" t="n">
        <v>0.430643068814693</v>
      </c>
      <c r="T12" s="56" t="n">
        <v>0.319838480365411</v>
      </c>
      <c r="U12" s="56" t="n">
        <v>0.443694</v>
      </c>
      <c r="V12" s="17" t="s">
        <v>28</v>
      </c>
    </row>
    <row r="13" customFormat="false" ht="15.75" hidden="false" customHeight="true" outlineLevel="0" collapsed="false">
      <c r="A13" s="11" t="n">
        <v>9</v>
      </c>
      <c r="B13" s="11" t="n">
        <v>95</v>
      </c>
      <c r="C13" s="11" t="n">
        <v>159</v>
      </c>
      <c r="D13" s="41" t="n">
        <v>33340</v>
      </c>
      <c r="E13" s="41" t="n">
        <v>30187</v>
      </c>
      <c r="F13" s="41" t="n">
        <v>28653.896</v>
      </c>
      <c r="G13" s="41" t="n">
        <v>24011.330431</v>
      </c>
      <c r="H13" s="42" t="n">
        <v>0.193348951751802</v>
      </c>
      <c r="I13" s="43" t="s">
        <v>73</v>
      </c>
      <c r="J13" s="41" t="n">
        <v>54351.447</v>
      </c>
      <c r="K13" s="41" t="n">
        <v>61310.6011</v>
      </c>
      <c r="L13" s="41" t="n">
        <v>5409.266712</v>
      </c>
      <c r="M13" s="41" t="n">
        <v>68581.26</v>
      </c>
      <c r="N13" s="44" t="n">
        <v>0.088227266002127</v>
      </c>
      <c r="O13" s="11" t="n">
        <v>10</v>
      </c>
      <c r="P13" s="45" t="n">
        <v>125.661</v>
      </c>
      <c r="Q13" s="45" t="n">
        <v>554.583</v>
      </c>
      <c r="R13" s="46" t="n">
        <v>134.3</v>
      </c>
      <c r="S13" s="47" t="n">
        <v>0.896825723105856</v>
      </c>
      <c r="T13" s="48" t="n">
        <v>0.800491834233279</v>
      </c>
      <c r="U13" s="48" t="n">
        <v>1.263575</v>
      </c>
      <c r="V13" s="17" t="s">
        <v>28</v>
      </c>
    </row>
    <row r="14" customFormat="false" ht="15.75" hidden="false" customHeight="true" outlineLevel="0" collapsed="false">
      <c r="A14" s="19" t="n">
        <v>10</v>
      </c>
      <c r="B14" s="19" t="n">
        <v>95</v>
      </c>
      <c r="C14" s="19" t="n">
        <v>159</v>
      </c>
      <c r="D14" s="49" t="n">
        <v>116250</v>
      </c>
      <c r="E14" s="49" t="n">
        <v>16760</v>
      </c>
      <c r="F14" s="49" t="n">
        <v>16964.09</v>
      </c>
      <c r="G14" s="49" t="n">
        <v>13779.688617</v>
      </c>
      <c r="H14" s="50" t="n">
        <v>0.231093856436742</v>
      </c>
      <c r="I14" s="51" t="s">
        <v>73</v>
      </c>
      <c r="J14" s="49" t="n">
        <v>50259.398</v>
      </c>
      <c r="K14" s="49" t="n">
        <v>57318.4665</v>
      </c>
      <c r="L14" s="49" t="n">
        <v>4333.432395</v>
      </c>
      <c r="M14" s="49" t="n">
        <v>63231.386</v>
      </c>
      <c r="N14" s="52" t="n">
        <v>0.0756027273514025</v>
      </c>
      <c r="O14" s="19" t="n">
        <v>10</v>
      </c>
      <c r="P14" s="53" t="n">
        <v>34.769</v>
      </c>
      <c r="Q14" s="53" t="n">
        <v>674.384</v>
      </c>
      <c r="R14" s="54" t="n">
        <v>137.4</v>
      </c>
      <c r="S14" s="47" t="n">
        <v>1.96269343065263</v>
      </c>
      <c r="T14" s="56" t="n">
        <v>1.99877076372315</v>
      </c>
      <c r="U14" s="56" t="n">
        <v>2.647354</v>
      </c>
      <c r="V14" s="17" t="s">
        <v>28</v>
      </c>
    </row>
    <row r="15" customFormat="false" ht="18" hidden="false" customHeight="true" outlineLevel="0" collapsed="false">
      <c r="A15" s="32" t="s">
        <v>70</v>
      </c>
      <c r="B15" s="32"/>
      <c r="C15" s="32"/>
      <c r="D15" s="61" t="n">
        <f aca="false">AVERAGE(D5:D14)</f>
        <v>108916.7</v>
      </c>
      <c r="E15" s="61" t="n">
        <f aca="false">AVERAGE(E5:E14)</f>
        <v>78589.2</v>
      </c>
      <c r="F15" s="61" t="n">
        <f aca="false">AVERAGE(F5:F14)</f>
        <v>73402.6709</v>
      </c>
      <c r="G15" s="61" t="n">
        <f aca="false">AVERAGE(G5:G14)</f>
        <v>70638.9512171</v>
      </c>
      <c r="H15" s="62" t="n">
        <f aca="false">AVERAGE(H5:H14)</f>
        <v>0.0835291575908741</v>
      </c>
      <c r="I15" s="26"/>
      <c r="J15" s="61" t="n">
        <f aca="false">AVERAGE(J5:J14)</f>
        <v>111325.4716</v>
      </c>
      <c r="K15" s="61" t="n">
        <f aca="false">AVERAGE(K5:K14)</f>
        <v>121315.28115</v>
      </c>
      <c r="L15" s="61" t="n">
        <f aca="false">AVERAGE(L5:L14)</f>
        <v>5849.4867092</v>
      </c>
      <c r="M15" s="61" t="n">
        <f aca="false">AVERAGE(M5:M14)</f>
        <v>129360.244</v>
      </c>
      <c r="N15" s="63" t="n">
        <f aca="false">AVERAGE(N5:N14)</f>
        <v>0.0577307458782473</v>
      </c>
      <c r="O15" s="64" t="n">
        <v>10</v>
      </c>
      <c r="P15" s="65" t="n">
        <f aca="false">AVERAGE(P5:P14)</f>
        <v>101.9112</v>
      </c>
      <c r="Q15" s="65" t="n">
        <f aca="false">AVERAGE(Q5:Q14)</f>
        <v>698.2278</v>
      </c>
      <c r="R15" s="66" t="n">
        <f aca="false">AVERAGE(R5:R14)</f>
        <v>141.84</v>
      </c>
      <c r="S15" s="67" t="n">
        <f aca="false">AVERAGE(S5:S14)</f>
        <v>0.751194089818761</v>
      </c>
      <c r="T15" s="67" t="n">
        <f aca="false">AVERAGE(T5:T14)</f>
        <v>0.606200051440249</v>
      </c>
      <c r="U15" s="67" t="n">
        <f aca="false">AVERAGE(U5:U14)</f>
        <v>0.9335022</v>
      </c>
      <c r="V15" s="32"/>
    </row>
    <row r="17" customFormat="false" ht="27.75" hidden="false" customHeight="true" outlineLevel="0" collapsed="false">
      <c r="A17" s="30" t="s">
        <v>71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</row>
  </sheetData>
  <mergeCells count="6">
    <mergeCell ref="A1:V1"/>
    <mergeCell ref="D3:E3"/>
    <mergeCell ref="F3:I3"/>
    <mergeCell ref="J3:R3"/>
    <mergeCell ref="S3:U3"/>
    <mergeCell ref="A17:V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7"/>
    <col collapsed="false" customWidth="true" hidden="false" outlineLevel="0" max="3" min="3" style="1" width="8"/>
    <col collapsed="false" customWidth="true" hidden="false" outlineLevel="0" max="7" min="4" style="1" width="13"/>
    <col collapsed="false" customWidth="true" hidden="false" outlineLevel="0" max="8" min="8" style="1" width="10"/>
    <col collapsed="false" customWidth="true" hidden="false" outlineLevel="0" max="9" min="9" style="1" width="18"/>
    <col collapsed="false" customWidth="true" hidden="false" outlineLevel="0" max="11" min="10" style="1" width="13"/>
    <col collapsed="false" customWidth="true" hidden="false" outlineLevel="0" max="12" min="12" style="1" width="11"/>
    <col collapsed="false" customWidth="true" hidden="false" outlineLevel="0" max="13" min="13" style="1" width="13"/>
    <col collapsed="false" customWidth="true" hidden="false" outlineLevel="0" max="14" min="14" style="1" width="9"/>
    <col collapsed="false" customWidth="true" hidden="false" outlineLevel="0" max="15" min="15" style="1" width="6"/>
    <col collapsed="false" customWidth="true" hidden="false" outlineLevel="0" max="17" min="16" style="1" width="12"/>
    <col collapsed="false" customWidth="true" hidden="false" outlineLevel="0" max="18" min="18" style="1" width="11"/>
    <col collapsed="false" customWidth="true" hidden="false" outlineLevel="0" max="19" min="19" style="1" width="13"/>
    <col collapsed="false" customWidth="true" hidden="false" outlineLevel="0" max="20" min="20" style="1" width="14"/>
    <col collapsed="false" customWidth="true" hidden="false" outlineLevel="0" max="21" min="21" style="1" width="13"/>
    <col collapsed="false" customWidth="true" hidden="false" outlineLevel="0" max="22" min="22" style="1" width="15"/>
  </cols>
  <sheetData>
    <row r="1" customFormat="false" ht="21.75" hidden="false" customHeight="true" outlineLevel="0" collapsed="false">
      <c r="A1" s="31" t="s">
        <v>77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</row>
    <row r="2" customFormat="false" ht="7.5" hidden="false" customHeight="true" outlineLevel="0" collapsed="false"/>
    <row r="3" customFormat="false" ht="13.5" hidden="false" customHeight="true" outlineLevel="0" collapsed="false">
      <c r="A3" s="32" t="s">
        <v>39</v>
      </c>
      <c r="B3" s="32" t="s">
        <v>40</v>
      </c>
      <c r="C3" s="32" t="s">
        <v>41</v>
      </c>
      <c r="D3" s="33" t="s">
        <v>3</v>
      </c>
      <c r="E3" s="33"/>
      <c r="F3" s="34" t="s">
        <v>42</v>
      </c>
      <c r="G3" s="34"/>
      <c r="H3" s="34"/>
      <c r="I3" s="34"/>
      <c r="J3" s="35" t="s">
        <v>43</v>
      </c>
      <c r="K3" s="35"/>
      <c r="L3" s="35"/>
      <c r="M3" s="35"/>
      <c r="N3" s="35"/>
      <c r="O3" s="35"/>
      <c r="P3" s="35"/>
      <c r="Q3" s="35"/>
      <c r="R3" s="35"/>
      <c r="S3" s="36" t="s">
        <v>44</v>
      </c>
      <c r="T3" s="36"/>
      <c r="U3" s="36"/>
      <c r="V3" s="36" t="s">
        <v>45</v>
      </c>
    </row>
    <row r="4" customFormat="false" ht="27.75" hidden="false" customHeight="true" outlineLevel="0" collapsed="false">
      <c r="A4" s="9" t="s">
        <v>46</v>
      </c>
      <c r="B4" s="9" t="s">
        <v>47</v>
      </c>
      <c r="C4" s="9" t="s">
        <v>48</v>
      </c>
      <c r="D4" s="37" t="s">
        <v>49</v>
      </c>
      <c r="E4" s="37" t="s">
        <v>50</v>
      </c>
      <c r="F4" s="38" t="s">
        <v>51</v>
      </c>
      <c r="G4" s="38" t="s">
        <v>52</v>
      </c>
      <c r="H4" s="38" t="s">
        <v>53</v>
      </c>
      <c r="I4" s="38" t="s">
        <v>54</v>
      </c>
      <c r="J4" s="39" t="s">
        <v>55</v>
      </c>
      <c r="K4" s="39" t="s">
        <v>56</v>
      </c>
      <c r="L4" s="39" t="s">
        <v>57</v>
      </c>
      <c r="M4" s="39" t="s">
        <v>58</v>
      </c>
      <c r="N4" s="39" t="s">
        <v>59</v>
      </c>
      <c r="O4" s="39" t="s">
        <v>60</v>
      </c>
      <c r="P4" s="39" t="s">
        <v>61</v>
      </c>
      <c r="Q4" s="39" t="s">
        <v>62</v>
      </c>
      <c r="R4" s="39" t="s">
        <v>63</v>
      </c>
      <c r="S4" s="40" t="s">
        <v>64</v>
      </c>
      <c r="T4" s="40" t="s">
        <v>65</v>
      </c>
      <c r="U4" s="40" t="s">
        <v>66</v>
      </c>
      <c r="V4" s="40" t="s">
        <v>43</v>
      </c>
    </row>
    <row r="5" customFormat="false" ht="15.75" hidden="false" customHeight="true" outlineLevel="0" collapsed="false">
      <c r="A5" s="11" t="n">
        <v>1</v>
      </c>
      <c r="B5" s="11" t="n">
        <v>25</v>
      </c>
      <c r="C5" s="11" t="n">
        <v>160</v>
      </c>
      <c r="D5" s="41" t="n">
        <v>36964</v>
      </c>
      <c r="E5" s="41" t="s">
        <v>74</v>
      </c>
      <c r="F5" s="41" t="n">
        <v>86264.683</v>
      </c>
      <c r="G5" s="41" t="n">
        <v>86264.683</v>
      </c>
      <c r="H5" s="42" t="n">
        <v>0</v>
      </c>
      <c r="I5" s="43" t="s">
        <v>67</v>
      </c>
      <c r="J5" s="41" t="n">
        <v>93422.649</v>
      </c>
      <c r="K5" s="41" t="n">
        <v>99359.6465</v>
      </c>
      <c r="L5" s="41" t="n">
        <v>3124.328885</v>
      </c>
      <c r="M5" s="41" t="n">
        <v>104913.094</v>
      </c>
      <c r="N5" s="44" t="n">
        <v>0.0314446457395559</v>
      </c>
      <c r="O5" s="11" t="n">
        <v>10</v>
      </c>
      <c r="P5" s="45" t="n">
        <v>78.099</v>
      </c>
      <c r="Q5" s="45" t="n">
        <v>739.702</v>
      </c>
      <c r="R5" s="46" t="n">
        <v>1480.4</v>
      </c>
      <c r="S5" s="55" t="n">
        <v>0.0829767843695664</v>
      </c>
      <c r="T5" s="68"/>
      <c r="U5" s="48" t="n">
        <v>0.082977</v>
      </c>
      <c r="V5" s="25" t="s">
        <v>35</v>
      </c>
    </row>
    <row r="6" customFormat="false" ht="15.75" hidden="false" customHeight="true" outlineLevel="0" collapsed="false">
      <c r="A6" s="19" t="n">
        <v>2</v>
      </c>
      <c r="B6" s="19" t="n">
        <v>19</v>
      </c>
      <c r="C6" s="19" t="n">
        <v>159</v>
      </c>
      <c r="D6" s="49" t="n">
        <v>99950</v>
      </c>
      <c r="E6" s="49" t="s">
        <v>74</v>
      </c>
      <c r="F6" s="49" t="n">
        <v>99950.709</v>
      </c>
      <c r="G6" s="49" t="n">
        <v>99950.709</v>
      </c>
      <c r="H6" s="50" t="n">
        <v>0</v>
      </c>
      <c r="I6" s="51" t="s">
        <v>67</v>
      </c>
      <c r="J6" s="49" t="n">
        <v>90410.515</v>
      </c>
      <c r="K6" s="49" t="n">
        <v>94366.0465</v>
      </c>
      <c r="L6" s="49" t="n">
        <v>2063.696739</v>
      </c>
      <c r="M6" s="49" t="n">
        <v>96981.692</v>
      </c>
      <c r="N6" s="52" t="n">
        <v>0.0218690600649461</v>
      </c>
      <c r="O6" s="19" t="n">
        <v>10</v>
      </c>
      <c r="P6" s="53" t="n">
        <v>37.774</v>
      </c>
      <c r="Q6" s="53" t="n">
        <v>729.928</v>
      </c>
      <c r="R6" s="54" t="n">
        <v>2772</v>
      </c>
      <c r="S6" s="58" t="n">
        <v>-0.0954489877605571</v>
      </c>
      <c r="T6" s="57"/>
      <c r="U6" s="70" t="n">
        <v>-0.095449</v>
      </c>
      <c r="V6" s="59" t="s">
        <v>78</v>
      </c>
    </row>
    <row r="7" customFormat="false" ht="15.75" hidden="false" customHeight="true" outlineLevel="0" collapsed="false">
      <c r="A7" s="11" t="n">
        <v>3</v>
      </c>
      <c r="B7" s="11" t="n">
        <v>19</v>
      </c>
      <c r="C7" s="11" t="n">
        <v>159</v>
      </c>
      <c r="D7" s="41" t="n">
        <v>39695</v>
      </c>
      <c r="E7" s="41" t="s">
        <v>74</v>
      </c>
      <c r="F7" s="41" t="n">
        <v>39695.173</v>
      </c>
      <c r="G7" s="41" t="n">
        <v>39695.173</v>
      </c>
      <c r="H7" s="42" t="n">
        <v>0</v>
      </c>
      <c r="I7" s="43" t="s">
        <v>67</v>
      </c>
      <c r="J7" s="41" t="n">
        <v>44164.765</v>
      </c>
      <c r="K7" s="41" t="n">
        <v>46145.78775</v>
      </c>
      <c r="L7" s="41" t="n">
        <v>1296.6215320231</v>
      </c>
      <c r="M7" s="41" t="n">
        <v>48006.074</v>
      </c>
      <c r="N7" s="44" t="n">
        <v>0.0280983724678772</v>
      </c>
      <c r="O7" s="11" t="n">
        <v>8</v>
      </c>
      <c r="P7" s="45" t="n">
        <v>56.604</v>
      </c>
      <c r="Q7" s="45" t="n">
        <v>785.1835</v>
      </c>
      <c r="R7" s="46" t="n">
        <v>2514</v>
      </c>
      <c r="S7" s="55" t="n">
        <v>0.112597871786577</v>
      </c>
      <c r="T7" s="68"/>
      <c r="U7" s="68"/>
      <c r="V7" s="25" t="s">
        <v>35</v>
      </c>
    </row>
    <row r="8" customFormat="false" ht="15.75" hidden="false" customHeight="true" outlineLevel="0" collapsed="false">
      <c r="A8" s="19" t="n">
        <v>4</v>
      </c>
      <c r="B8" s="19" t="n">
        <v>19</v>
      </c>
      <c r="C8" s="19" t="n">
        <v>159</v>
      </c>
      <c r="D8" s="49" t="n">
        <v>127725</v>
      </c>
      <c r="E8" s="49" t="s">
        <v>74</v>
      </c>
      <c r="F8" s="49" t="n">
        <v>127725.976</v>
      </c>
      <c r="G8" s="49" t="n">
        <v>127725.976</v>
      </c>
      <c r="H8" s="50" t="n">
        <v>0</v>
      </c>
      <c r="I8" s="51" t="s">
        <v>67</v>
      </c>
      <c r="J8" s="49" t="n">
        <v>129960.188</v>
      </c>
      <c r="K8" s="49" t="n">
        <v>131936.2173</v>
      </c>
      <c r="L8" s="49" t="n">
        <v>923.733596</v>
      </c>
      <c r="M8" s="49" t="n">
        <v>133098.261</v>
      </c>
      <c r="N8" s="52" t="n">
        <v>0.00700136486329292</v>
      </c>
      <c r="O8" s="19" t="n">
        <v>10</v>
      </c>
      <c r="P8" s="53" t="n">
        <v>113.609</v>
      </c>
      <c r="Q8" s="53" t="n">
        <v>881.339</v>
      </c>
      <c r="R8" s="54" t="n">
        <v>3339.6</v>
      </c>
      <c r="S8" s="60" t="n">
        <v>0.0174922288321367</v>
      </c>
      <c r="T8" s="57"/>
      <c r="U8" s="56" t="n">
        <v>0.017492</v>
      </c>
      <c r="V8" s="34" t="s">
        <v>69</v>
      </c>
    </row>
    <row r="9" customFormat="false" ht="15.75" hidden="false" customHeight="true" outlineLevel="0" collapsed="false">
      <c r="A9" s="11" t="n">
        <v>5</v>
      </c>
      <c r="B9" s="11" t="n">
        <v>19</v>
      </c>
      <c r="C9" s="11" t="n">
        <v>159</v>
      </c>
      <c r="D9" s="41" t="n">
        <v>35426</v>
      </c>
      <c r="E9" s="41" t="s">
        <v>74</v>
      </c>
      <c r="F9" s="41" t="n">
        <v>35426.141</v>
      </c>
      <c r="G9" s="41" t="n">
        <v>35426.141</v>
      </c>
      <c r="H9" s="42" t="n">
        <v>0</v>
      </c>
      <c r="I9" s="43" t="s">
        <v>67</v>
      </c>
      <c r="J9" s="41" t="n">
        <v>32050.424</v>
      </c>
      <c r="K9" s="41" t="n">
        <v>35795.6651</v>
      </c>
      <c r="L9" s="41" t="n">
        <v>1862.052115</v>
      </c>
      <c r="M9" s="41" t="n">
        <v>37821.446</v>
      </c>
      <c r="N9" s="44" t="n">
        <v>0.0520189277052992</v>
      </c>
      <c r="O9" s="11" t="n">
        <v>10</v>
      </c>
      <c r="P9" s="45" t="n">
        <v>301.834</v>
      </c>
      <c r="Q9" s="45" t="n">
        <v>752.569</v>
      </c>
      <c r="R9" s="46" t="n">
        <v>2423.2</v>
      </c>
      <c r="S9" s="58" t="n">
        <v>-0.0952888715708551</v>
      </c>
      <c r="T9" s="68"/>
      <c r="U9" s="70" t="n">
        <v>-0.095289</v>
      </c>
      <c r="V9" s="59" t="s">
        <v>78</v>
      </c>
    </row>
    <row r="10" customFormat="false" ht="15.75" hidden="false" customHeight="true" outlineLevel="0" collapsed="false">
      <c r="A10" s="19" t="n">
        <v>6</v>
      </c>
      <c r="B10" s="19" t="n">
        <v>19</v>
      </c>
      <c r="C10" s="19" t="n">
        <v>159</v>
      </c>
      <c r="D10" s="49" t="n">
        <v>66677</v>
      </c>
      <c r="E10" s="49" t="s">
        <v>74</v>
      </c>
      <c r="F10" s="49" t="n">
        <v>66677.463</v>
      </c>
      <c r="G10" s="49" t="n">
        <v>66677.463</v>
      </c>
      <c r="H10" s="50" t="n">
        <v>0</v>
      </c>
      <c r="I10" s="51" t="s">
        <v>67</v>
      </c>
      <c r="J10" s="49" t="n">
        <v>62875.718</v>
      </c>
      <c r="K10" s="49" t="n">
        <v>64601.5274</v>
      </c>
      <c r="L10" s="49" t="n">
        <v>1203.213067</v>
      </c>
      <c r="M10" s="49" t="n">
        <v>66340.523</v>
      </c>
      <c r="N10" s="52" t="n">
        <v>0.0186251489001172</v>
      </c>
      <c r="O10" s="19" t="n">
        <v>10</v>
      </c>
      <c r="P10" s="53" t="n">
        <v>135.667</v>
      </c>
      <c r="Q10" s="53" t="n">
        <v>594.755</v>
      </c>
      <c r="R10" s="54" t="n">
        <v>2373.4</v>
      </c>
      <c r="S10" s="58" t="n">
        <v>-0.0570169413914264</v>
      </c>
      <c r="T10" s="57"/>
      <c r="U10" s="70" t="n">
        <v>-0.057017</v>
      </c>
      <c r="V10" s="59" t="s">
        <v>78</v>
      </c>
    </row>
    <row r="11" customFormat="false" ht="15.75" hidden="false" customHeight="true" outlineLevel="0" collapsed="false">
      <c r="A11" s="11" t="n">
        <v>7</v>
      </c>
      <c r="B11" s="11" t="n">
        <v>19</v>
      </c>
      <c r="C11" s="11" t="n">
        <v>159</v>
      </c>
      <c r="D11" s="41" t="n">
        <v>10568</v>
      </c>
      <c r="E11" s="41" t="s">
        <v>74</v>
      </c>
      <c r="F11" s="41" t="n">
        <v>10568.618</v>
      </c>
      <c r="G11" s="41" t="n">
        <v>10568.618</v>
      </c>
      <c r="H11" s="42" t="n">
        <v>0</v>
      </c>
      <c r="I11" s="43" t="s">
        <v>67</v>
      </c>
      <c r="J11" s="41" t="n">
        <v>12475.028</v>
      </c>
      <c r="K11" s="41" t="n">
        <v>13471.7737</v>
      </c>
      <c r="L11" s="41" t="n">
        <v>418.87974</v>
      </c>
      <c r="M11" s="41" t="n">
        <v>13897.435</v>
      </c>
      <c r="N11" s="44" t="n">
        <v>0.0310931395767137</v>
      </c>
      <c r="O11" s="11" t="n">
        <v>10</v>
      </c>
      <c r="P11" s="45" t="n">
        <v>27.67</v>
      </c>
      <c r="Q11" s="45" t="n">
        <v>682.726</v>
      </c>
      <c r="R11" s="46" t="n">
        <v>2248.4</v>
      </c>
      <c r="S11" s="58" t="n">
        <v>0.180384038859196</v>
      </c>
      <c r="T11" s="68"/>
      <c r="U11" s="48" t="n">
        <v>0.180384</v>
      </c>
      <c r="V11" s="59" t="s">
        <v>68</v>
      </c>
    </row>
    <row r="12" customFormat="false" ht="15.75" hidden="false" customHeight="true" outlineLevel="0" collapsed="false">
      <c r="A12" s="19" t="n">
        <v>8</v>
      </c>
      <c r="B12" s="19" t="n">
        <v>19</v>
      </c>
      <c r="C12" s="19" t="n">
        <v>159</v>
      </c>
      <c r="D12" s="49" t="n">
        <v>160911</v>
      </c>
      <c r="E12" s="49" t="s">
        <v>74</v>
      </c>
      <c r="F12" s="49" t="n">
        <v>160911.938</v>
      </c>
      <c r="G12" s="49" t="n">
        <v>160911.938</v>
      </c>
      <c r="H12" s="50" t="n">
        <v>0</v>
      </c>
      <c r="I12" s="51" t="s">
        <v>67</v>
      </c>
      <c r="J12" s="49" t="n">
        <v>170774.817</v>
      </c>
      <c r="K12" s="49" t="n">
        <v>173723.4726</v>
      </c>
      <c r="L12" s="49" t="n">
        <v>2278.350827</v>
      </c>
      <c r="M12" s="49" t="n">
        <v>177000.345</v>
      </c>
      <c r="N12" s="52" t="n">
        <v>0.0131148128281198</v>
      </c>
      <c r="O12" s="19" t="n">
        <v>10</v>
      </c>
      <c r="P12" s="53" t="n">
        <v>80.722</v>
      </c>
      <c r="Q12" s="53" t="n">
        <v>845.423</v>
      </c>
      <c r="R12" s="54" t="n">
        <v>2639.6</v>
      </c>
      <c r="S12" s="55" t="n">
        <v>0.0612936437320146</v>
      </c>
      <c r="T12" s="57"/>
      <c r="U12" s="56" t="n">
        <v>0.061294</v>
      </c>
      <c r="V12" s="25" t="s">
        <v>35</v>
      </c>
    </row>
    <row r="13" customFormat="false" ht="15.75" hidden="false" customHeight="true" outlineLevel="0" collapsed="false">
      <c r="A13" s="11" t="n">
        <v>9</v>
      </c>
      <c r="B13" s="11" t="n">
        <v>19</v>
      </c>
      <c r="C13" s="11" t="n">
        <v>159</v>
      </c>
      <c r="D13" s="41" t="n">
        <v>15627</v>
      </c>
      <c r="E13" s="41" t="s">
        <v>74</v>
      </c>
      <c r="F13" s="41" t="n">
        <v>15627.917</v>
      </c>
      <c r="G13" s="41" t="n">
        <v>15627.917</v>
      </c>
      <c r="H13" s="42" t="n">
        <v>0</v>
      </c>
      <c r="I13" s="43" t="s">
        <v>67</v>
      </c>
      <c r="J13" s="41" t="n">
        <v>16519.851</v>
      </c>
      <c r="K13" s="41" t="n">
        <v>17728.2286</v>
      </c>
      <c r="L13" s="41" t="n">
        <v>882.237909</v>
      </c>
      <c r="M13" s="41" t="n">
        <v>19091.459</v>
      </c>
      <c r="N13" s="44" t="n">
        <v>0.0497645833041661</v>
      </c>
      <c r="O13" s="11" t="n">
        <v>10</v>
      </c>
      <c r="P13" s="45" t="n">
        <v>15.616</v>
      </c>
      <c r="Q13" s="45" t="n">
        <v>872.469</v>
      </c>
      <c r="R13" s="46" t="n">
        <v>2879.2</v>
      </c>
      <c r="S13" s="55" t="n">
        <v>0.0570731211331619</v>
      </c>
      <c r="T13" s="68"/>
      <c r="U13" s="48" t="n">
        <v>0.057073</v>
      </c>
      <c r="V13" s="25" t="s">
        <v>35</v>
      </c>
    </row>
    <row r="14" customFormat="false" ht="15.75" hidden="false" customHeight="true" outlineLevel="0" collapsed="false">
      <c r="A14" s="19" t="n">
        <v>10</v>
      </c>
      <c r="B14" s="19" t="n">
        <v>19</v>
      </c>
      <c r="C14" s="19" t="n">
        <v>159</v>
      </c>
      <c r="D14" s="49" t="n">
        <v>5639</v>
      </c>
      <c r="E14" s="49" t="s">
        <v>74</v>
      </c>
      <c r="F14" s="49" t="n">
        <v>5639.568</v>
      </c>
      <c r="G14" s="49" t="n">
        <v>5639.568</v>
      </c>
      <c r="H14" s="50" t="n">
        <v>0</v>
      </c>
      <c r="I14" s="51" t="s">
        <v>67</v>
      </c>
      <c r="J14" s="49" t="n">
        <v>7422.331</v>
      </c>
      <c r="K14" s="49" t="n">
        <v>8600.3351</v>
      </c>
      <c r="L14" s="49" t="n">
        <v>702.856516</v>
      </c>
      <c r="M14" s="49" t="n">
        <v>9587.697</v>
      </c>
      <c r="N14" s="52" t="n">
        <v>0.0817243174629324</v>
      </c>
      <c r="O14" s="19" t="n">
        <v>10</v>
      </c>
      <c r="P14" s="53" t="n">
        <v>49.429</v>
      </c>
      <c r="Q14" s="53" t="n">
        <v>556.732</v>
      </c>
      <c r="R14" s="54" t="n">
        <v>2483.9</v>
      </c>
      <c r="S14" s="47" t="n">
        <v>0.316116943709164</v>
      </c>
      <c r="T14" s="57"/>
      <c r="U14" s="56" t="n">
        <v>0.316117</v>
      </c>
      <c r="V14" s="17" t="s">
        <v>28</v>
      </c>
    </row>
    <row r="15" customFormat="false" ht="18" hidden="false" customHeight="true" outlineLevel="0" collapsed="false">
      <c r="A15" s="32" t="s">
        <v>70</v>
      </c>
      <c r="B15" s="32"/>
      <c r="C15" s="32"/>
      <c r="D15" s="61" t="n">
        <f aca="false">AVERAGE(D5:D14)</f>
        <v>59918.2</v>
      </c>
      <c r="E15" s="61" t="str">
        <f aca="false">IFERROR(AVERAGEIF(E5:E14,"&lt;&gt;",E5:E14),"—")</f>
        <v>—</v>
      </c>
      <c r="F15" s="61" t="n">
        <f aca="false">AVERAGE(F5:F14)</f>
        <v>64848.8186</v>
      </c>
      <c r="G15" s="61" t="n">
        <f aca="false">AVERAGE(G5:G14)</f>
        <v>64848.8186</v>
      </c>
      <c r="H15" s="62" t="n">
        <f aca="false">AVERAGE(H5:H14)</f>
        <v>0</v>
      </c>
      <c r="I15" s="26"/>
      <c r="J15" s="61" t="n">
        <f aca="false">AVERAGE(J5:J14)</f>
        <v>66007.6286</v>
      </c>
      <c r="K15" s="61" t="n">
        <f aca="false">AVERAGE(K5:K14)</f>
        <v>68572.870055</v>
      </c>
      <c r="L15" s="61" t="n">
        <f aca="false">AVERAGE(L5:L14)</f>
        <v>1475.59709260231</v>
      </c>
      <c r="M15" s="61" t="n">
        <f aca="false">AVERAGE(M5:M14)</f>
        <v>70673.8026</v>
      </c>
      <c r="N15" s="63" t="n">
        <f aca="false">AVERAGE(N5:N14)</f>
        <v>0.0334754372913021</v>
      </c>
      <c r="O15" s="64" t="n">
        <v>10</v>
      </c>
      <c r="P15" s="65" t="n">
        <f aca="false">AVERAGE(P5:P14)</f>
        <v>89.7024</v>
      </c>
      <c r="Q15" s="65" t="n">
        <f aca="false">AVERAGE(Q5:Q14)</f>
        <v>744.08265</v>
      </c>
      <c r="R15" s="66" t="n">
        <f aca="false">AVERAGE(R5:R14)</f>
        <v>2515.37</v>
      </c>
      <c r="S15" s="67" t="n">
        <f aca="false">AVERAGE(S5:S14)</f>
        <v>0.0580179831698978</v>
      </c>
      <c r="T15" s="67" t="str">
        <f aca="false">IFERROR(AVERAGEIF(T5:T14,"&lt;&gt;",T5:T14),"—")</f>
        <v>—</v>
      </c>
      <c r="U15" s="67" t="n">
        <f aca="false">AVERAGE(U5:U14)</f>
        <v>0.0519535555555556</v>
      </c>
      <c r="V15" s="32"/>
    </row>
    <row r="17" customFormat="false" ht="27.75" hidden="false" customHeight="true" outlineLevel="0" collapsed="false">
      <c r="A17" s="30" t="s">
        <v>71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</row>
  </sheetData>
  <mergeCells count="6">
    <mergeCell ref="A1:V1"/>
    <mergeCell ref="D3:E3"/>
    <mergeCell ref="F3:I3"/>
    <mergeCell ref="J3:R3"/>
    <mergeCell ref="S3:U3"/>
    <mergeCell ref="A17:V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4"/>
    <col collapsed="false" customWidth="true" hidden="false" outlineLevel="0" max="3" min="3" style="1" width="6"/>
    <col collapsed="false" customWidth="true" hidden="false" outlineLevel="0" max="4" min="4" style="1" width="7"/>
    <col collapsed="false" customWidth="true" hidden="false" outlineLevel="0" max="6" min="5" style="1" width="13"/>
    <col collapsed="false" customWidth="true" hidden="false" outlineLevel="0" max="7" min="7" style="1" width="9"/>
    <col collapsed="false" customWidth="true" hidden="false" outlineLevel="0" max="9" min="8" style="1" width="13"/>
    <col collapsed="false" customWidth="true" hidden="false" outlineLevel="0" max="10" min="10" style="1" width="11"/>
    <col collapsed="false" customWidth="true" hidden="false" outlineLevel="0" max="11" min="11" style="1" width="10"/>
    <col collapsed="false" customWidth="true" hidden="false" outlineLevel="0" max="12" min="12" style="1" width="16"/>
  </cols>
  <sheetData>
    <row r="1" customFormat="false" ht="21.75" hidden="false" customHeight="true" outlineLevel="0" collapsed="false">
      <c r="A1" s="71" t="s">
        <v>79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</row>
    <row r="2" customFormat="false" ht="7.5" hidden="false" customHeight="true" outlineLevel="0" collapsed="false"/>
    <row r="4" customFormat="false" ht="30" hidden="false" customHeight="true" outlineLevel="0" collapsed="false">
      <c r="A4" s="72" t="s">
        <v>7</v>
      </c>
      <c r="B4" s="72" t="s">
        <v>80</v>
      </c>
      <c r="C4" s="72" t="s">
        <v>40</v>
      </c>
      <c r="D4" s="72" t="s">
        <v>41</v>
      </c>
      <c r="E4" s="72" t="s">
        <v>81</v>
      </c>
      <c r="F4" s="72" t="s">
        <v>82</v>
      </c>
      <c r="G4" s="72" t="s">
        <v>59</v>
      </c>
      <c r="H4" s="72" t="s">
        <v>83</v>
      </c>
      <c r="I4" s="72" t="s">
        <v>84</v>
      </c>
      <c r="J4" s="72" t="s">
        <v>63</v>
      </c>
      <c r="K4" s="72" t="s">
        <v>85</v>
      </c>
      <c r="L4" s="72" t="s">
        <v>45</v>
      </c>
    </row>
    <row r="5" customFormat="false" ht="15" hidden="false" customHeight="true" outlineLevel="0" collapsed="false">
      <c r="A5" s="14" t="s">
        <v>86</v>
      </c>
      <c r="B5" s="43" t="s">
        <v>87</v>
      </c>
      <c r="C5" s="11" t="n">
        <v>38</v>
      </c>
      <c r="D5" s="11" t="n">
        <v>159</v>
      </c>
      <c r="E5" s="41" t="n">
        <v>56781.252</v>
      </c>
      <c r="F5" s="41" t="n">
        <v>62677.7226</v>
      </c>
      <c r="G5" s="44" t="n">
        <v>0.0530226025315093</v>
      </c>
      <c r="H5" s="47" t="n">
        <v>0.41318806405568</v>
      </c>
      <c r="I5" s="45" t="n">
        <v>72.995</v>
      </c>
      <c r="J5" s="46" t="n">
        <v>619.3</v>
      </c>
      <c r="K5" s="11" t="n">
        <v>10</v>
      </c>
      <c r="L5" s="17" t="s">
        <v>28</v>
      </c>
    </row>
    <row r="6" customFormat="false" ht="15" hidden="false" customHeight="true" outlineLevel="0" collapsed="false">
      <c r="A6" s="73" t="s">
        <v>86</v>
      </c>
      <c r="B6" s="74" t="s">
        <v>88</v>
      </c>
      <c r="C6" s="75" t="n">
        <v>38</v>
      </c>
      <c r="D6" s="75" t="n">
        <v>159</v>
      </c>
      <c r="E6" s="76" t="n">
        <v>111931.515</v>
      </c>
      <c r="F6" s="76" t="n">
        <v>123103.84925</v>
      </c>
      <c r="G6" s="77" t="n">
        <v>0.0594427619855013</v>
      </c>
      <c r="H6" s="55" t="n">
        <v>0.0649909621140659</v>
      </c>
      <c r="I6" s="78" t="n">
        <v>36.223</v>
      </c>
      <c r="J6" s="79" t="n">
        <v>710.375</v>
      </c>
      <c r="K6" s="75" t="n">
        <v>8</v>
      </c>
      <c r="L6" s="25" t="s">
        <v>35</v>
      </c>
    </row>
    <row r="7" customFormat="false" ht="15" hidden="false" customHeight="true" outlineLevel="0" collapsed="false">
      <c r="A7" s="14" t="s">
        <v>86</v>
      </c>
      <c r="B7" s="43" t="s">
        <v>89</v>
      </c>
      <c r="C7" s="11" t="n">
        <v>38</v>
      </c>
      <c r="D7" s="11" t="n">
        <v>159</v>
      </c>
      <c r="E7" s="41" t="n">
        <v>57318.583</v>
      </c>
      <c r="F7" s="41" t="n">
        <v>61098.4296</v>
      </c>
      <c r="G7" s="44" t="n">
        <v>0.0439248306800998</v>
      </c>
      <c r="H7" s="47" t="n">
        <v>0.334897342878442</v>
      </c>
      <c r="I7" s="45" t="n">
        <v>15.5</v>
      </c>
      <c r="J7" s="46" t="n">
        <v>615.6</v>
      </c>
      <c r="K7" s="11" t="n">
        <v>10</v>
      </c>
      <c r="L7" s="17" t="s">
        <v>28</v>
      </c>
    </row>
    <row r="8" customFormat="false" ht="15" hidden="false" customHeight="true" outlineLevel="0" collapsed="false">
      <c r="A8" s="73" t="s">
        <v>86</v>
      </c>
      <c r="B8" s="74" t="s">
        <v>90</v>
      </c>
      <c r="C8" s="75" t="n">
        <v>38</v>
      </c>
      <c r="D8" s="75" t="n">
        <v>159</v>
      </c>
      <c r="E8" s="76" t="n">
        <v>150481.479</v>
      </c>
      <c r="F8" s="76" t="n">
        <v>153253.4269</v>
      </c>
      <c r="G8" s="77" t="n">
        <v>0.0142843329071423</v>
      </c>
      <c r="H8" s="55" t="n">
        <v>0.143728321590624</v>
      </c>
      <c r="I8" s="78" t="n">
        <v>541.954</v>
      </c>
      <c r="J8" s="79" t="n">
        <v>759.7</v>
      </c>
      <c r="K8" s="75" t="n">
        <v>10</v>
      </c>
      <c r="L8" s="25" t="s">
        <v>35</v>
      </c>
    </row>
    <row r="9" customFormat="false" ht="15" hidden="false" customHeight="true" outlineLevel="0" collapsed="false">
      <c r="A9" s="14" t="s">
        <v>86</v>
      </c>
      <c r="B9" s="43" t="s">
        <v>91</v>
      </c>
      <c r="C9" s="11" t="n">
        <v>38</v>
      </c>
      <c r="D9" s="11" t="n">
        <v>159</v>
      </c>
      <c r="E9" s="41" t="n">
        <v>47329.026</v>
      </c>
      <c r="F9" s="41" t="n">
        <v>50914.0654</v>
      </c>
      <c r="G9" s="44" t="n">
        <v>0.045620816423746</v>
      </c>
      <c r="H9" s="58" t="n">
        <v>0.239499094830153</v>
      </c>
      <c r="I9" s="45" t="n">
        <v>170.079</v>
      </c>
      <c r="J9" s="46" t="n">
        <v>592.5</v>
      </c>
      <c r="K9" s="11" t="n">
        <v>10</v>
      </c>
      <c r="L9" s="59" t="s">
        <v>68</v>
      </c>
    </row>
    <row r="10" customFormat="false" ht="15" hidden="false" customHeight="true" outlineLevel="0" collapsed="false">
      <c r="A10" s="73" t="s">
        <v>86</v>
      </c>
      <c r="B10" s="74" t="s">
        <v>92</v>
      </c>
      <c r="C10" s="75" t="n">
        <v>38</v>
      </c>
      <c r="D10" s="75" t="n">
        <v>159</v>
      </c>
      <c r="E10" s="76" t="n">
        <v>70769.257</v>
      </c>
      <c r="F10" s="76" t="n">
        <v>79110.7428</v>
      </c>
      <c r="G10" s="77" t="n">
        <v>0.0466736738439523</v>
      </c>
      <c r="H10" s="60" t="n">
        <v>0.00617170621997089</v>
      </c>
      <c r="I10" s="78" t="n">
        <v>256.176</v>
      </c>
      <c r="J10" s="79" t="n">
        <v>600.6</v>
      </c>
      <c r="K10" s="75" t="n">
        <v>10</v>
      </c>
      <c r="L10" s="34" t="s">
        <v>69</v>
      </c>
    </row>
    <row r="11" customFormat="false" ht="15" hidden="false" customHeight="true" outlineLevel="0" collapsed="false">
      <c r="A11" s="14" t="s">
        <v>86</v>
      </c>
      <c r="B11" s="43" t="s">
        <v>93</v>
      </c>
      <c r="C11" s="11" t="n">
        <v>38</v>
      </c>
      <c r="D11" s="11" t="n">
        <v>159</v>
      </c>
      <c r="E11" s="41" t="n">
        <v>23159.862</v>
      </c>
      <c r="F11" s="41" t="n">
        <v>24820.3538</v>
      </c>
      <c r="G11" s="44" t="n">
        <v>0.0581689543039471</v>
      </c>
      <c r="H11" s="47" t="n">
        <v>0.714670597303435</v>
      </c>
      <c r="I11" s="45" t="n">
        <v>73.472</v>
      </c>
      <c r="J11" s="46" t="n">
        <v>578.9</v>
      </c>
      <c r="K11" s="11" t="n">
        <v>10</v>
      </c>
      <c r="L11" s="17" t="s">
        <v>28</v>
      </c>
    </row>
    <row r="12" customFormat="false" ht="15" hidden="false" customHeight="true" outlineLevel="0" collapsed="false">
      <c r="A12" s="73" t="s">
        <v>86</v>
      </c>
      <c r="B12" s="74" t="s">
        <v>94</v>
      </c>
      <c r="C12" s="75" t="n">
        <v>38</v>
      </c>
      <c r="D12" s="75" t="n">
        <v>159</v>
      </c>
      <c r="E12" s="76" t="n">
        <v>198643.659</v>
      </c>
      <c r="F12" s="76" t="n">
        <v>210182.1072</v>
      </c>
      <c r="G12" s="77" t="n">
        <v>0.0296980566574128</v>
      </c>
      <c r="H12" s="58" t="n">
        <v>0.175278925843721</v>
      </c>
      <c r="I12" s="78" t="n">
        <v>15.056</v>
      </c>
      <c r="J12" s="79" t="n">
        <v>707.2</v>
      </c>
      <c r="K12" s="75" t="n">
        <v>10</v>
      </c>
      <c r="L12" s="59" t="s">
        <v>68</v>
      </c>
    </row>
    <row r="13" customFormat="false" ht="15" hidden="false" customHeight="true" outlineLevel="0" collapsed="false">
      <c r="A13" s="14" t="s">
        <v>86</v>
      </c>
      <c r="B13" s="43" t="s">
        <v>95</v>
      </c>
      <c r="C13" s="11" t="n">
        <v>38</v>
      </c>
      <c r="D13" s="11" t="n">
        <v>159</v>
      </c>
      <c r="E13" s="41" t="n">
        <v>24464.038</v>
      </c>
      <c r="F13" s="41" t="n">
        <v>29638.2797</v>
      </c>
      <c r="G13" s="44" t="n">
        <v>0.0913836028411595</v>
      </c>
      <c r="H13" s="47" t="n">
        <v>0.313003951833053</v>
      </c>
      <c r="I13" s="45" t="n">
        <v>72.749</v>
      </c>
      <c r="J13" s="46" t="n">
        <v>622.7</v>
      </c>
      <c r="K13" s="11" t="n">
        <v>10</v>
      </c>
      <c r="L13" s="17" t="s">
        <v>28</v>
      </c>
    </row>
    <row r="14" customFormat="false" ht="15" hidden="false" customHeight="true" outlineLevel="0" collapsed="false">
      <c r="A14" s="73" t="s">
        <v>86</v>
      </c>
      <c r="B14" s="74" t="s">
        <v>96</v>
      </c>
      <c r="C14" s="75" t="n">
        <v>38</v>
      </c>
      <c r="D14" s="75" t="n">
        <v>159</v>
      </c>
      <c r="E14" s="76" t="n">
        <v>18195.091</v>
      </c>
      <c r="F14" s="76" t="n">
        <v>21414.6766</v>
      </c>
      <c r="G14" s="77" t="n">
        <v>0.0961329636423274</v>
      </c>
      <c r="H14" s="47" t="n">
        <v>1.1829140887534</v>
      </c>
      <c r="I14" s="78" t="n">
        <v>420.054</v>
      </c>
      <c r="J14" s="79" t="n">
        <v>614.1</v>
      </c>
      <c r="K14" s="75" t="n">
        <v>10</v>
      </c>
      <c r="L14" s="17" t="s">
        <v>28</v>
      </c>
    </row>
    <row r="15" customFormat="false" ht="15" hidden="false" customHeight="true" outlineLevel="0" collapsed="false">
      <c r="A15" s="14" t="s">
        <v>97</v>
      </c>
      <c r="B15" s="43" t="s">
        <v>98</v>
      </c>
      <c r="C15" s="11" t="n">
        <v>57</v>
      </c>
      <c r="D15" s="11" t="n">
        <v>159</v>
      </c>
      <c r="E15" s="41" t="n">
        <v>66534.182</v>
      </c>
      <c r="F15" s="41" t="n">
        <v>75778.2424</v>
      </c>
      <c r="G15" s="44" t="n">
        <v>0.0741018219498847</v>
      </c>
      <c r="H15" s="47" t="n">
        <v>0.532184573411749</v>
      </c>
      <c r="I15" s="45" t="n">
        <v>3.703</v>
      </c>
      <c r="J15" s="46" t="n">
        <v>314.3</v>
      </c>
      <c r="K15" s="11" t="n">
        <v>10</v>
      </c>
      <c r="L15" s="17" t="s">
        <v>28</v>
      </c>
    </row>
    <row r="16" customFormat="false" ht="15" hidden="false" customHeight="true" outlineLevel="0" collapsed="false">
      <c r="A16" s="73" t="s">
        <v>97</v>
      </c>
      <c r="B16" s="74" t="s">
        <v>99</v>
      </c>
      <c r="C16" s="75" t="n">
        <v>57</v>
      </c>
      <c r="D16" s="75" t="n">
        <v>159</v>
      </c>
      <c r="E16" s="76" t="n">
        <v>131213.38</v>
      </c>
      <c r="F16" s="76" t="n">
        <v>144913.2059</v>
      </c>
      <c r="G16" s="77" t="n">
        <v>0.0548772010225743</v>
      </c>
      <c r="H16" s="58" t="n">
        <v>0.207715980646558</v>
      </c>
      <c r="I16" s="78" t="n">
        <v>9.81</v>
      </c>
      <c r="J16" s="79" t="n">
        <v>353.9</v>
      </c>
      <c r="K16" s="75" t="n">
        <v>10</v>
      </c>
      <c r="L16" s="59" t="s">
        <v>68</v>
      </c>
    </row>
    <row r="17" customFormat="false" ht="15" hidden="false" customHeight="true" outlineLevel="0" collapsed="false">
      <c r="A17" s="14" t="s">
        <v>97</v>
      </c>
      <c r="B17" s="43" t="s">
        <v>100</v>
      </c>
      <c r="C17" s="11" t="n">
        <v>57</v>
      </c>
      <c r="D17" s="11" t="n">
        <v>159</v>
      </c>
      <c r="E17" s="41" t="n">
        <v>68149.324</v>
      </c>
      <c r="F17" s="41" t="n">
        <v>72731.4894</v>
      </c>
      <c r="G17" s="44" t="n">
        <v>0.0353851067980467</v>
      </c>
      <c r="H17" s="47" t="n">
        <v>0.476548024837972</v>
      </c>
      <c r="I17" s="45" t="n">
        <v>174.002</v>
      </c>
      <c r="J17" s="46" t="n">
        <v>319.3</v>
      </c>
      <c r="K17" s="11" t="n">
        <v>10</v>
      </c>
      <c r="L17" s="17" t="s">
        <v>28</v>
      </c>
    </row>
    <row r="18" customFormat="false" ht="15" hidden="false" customHeight="true" outlineLevel="0" collapsed="false">
      <c r="A18" s="73" t="s">
        <v>97</v>
      </c>
      <c r="B18" s="74" t="s">
        <v>101</v>
      </c>
      <c r="C18" s="75" t="n">
        <v>57</v>
      </c>
      <c r="D18" s="75" t="n">
        <v>159</v>
      </c>
      <c r="E18" s="76" t="n">
        <v>160951.949</v>
      </c>
      <c r="F18" s="76" t="n">
        <v>170033.0949</v>
      </c>
      <c r="G18" s="77" t="n">
        <v>0.0379192993622326</v>
      </c>
      <c r="H18" s="58" t="n">
        <v>0.196868976617881</v>
      </c>
      <c r="I18" s="78" t="n">
        <v>241.72</v>
      </c>
      <c r="J18" s="79" t="n">
        <v>374.8</v>
      </c>
      <c r="K18" s="75" t="n">
        <v>10</v>
      </c>
      <c r="L18" s="59" t="s">
        <v>68</v>
      </c>
    </row>
    <row r="19" customFormat="false" ht="15" hidden="false" customHeight="true" outlineLevel="0" collapsed="false">
      <c r="A19" s="14" t="s">
        <v>97</v>
      </c>
      <c r="B19" s="43" t="s">
        <v>102</v>
      </c>
      <c r="C19" s="11" t="n">
        <v>57</v>
      </c>
      <c r="D19" s="11" t="n">
        <v>159</v>
      </c>
      <c r="E19" s="41" t="n">
        <v>56074.933</v>
      </c>
      <c r="F19" s="41" t="n">
        <v>63332.4694</v>
      </c>
      <c r="G19" s="44" t="n">
        <v>0.0668108947761952</v>
      </c>
      <c r="H19" s="47" t="n">
        <v>0.376567810118207</v>
      </c>
      <c r="I19" s="45" t="n">
        <v>43.06</v>
      </c>
      <c r="J19" s="46" t="n">
        <v>316.7</v>
      </c>
      <c r="K19" s="11" t="n">
        <v>10</v>
      </c>
      <c r="L19" s="17" t="s">
        <v>28</v>
      </c>
    </row>
    <row r="20" customFormat="false" ht="15" hidden="false" customHeight="true" outlineLevel="0" collapsed="false">
      <c r="A20" s="73" t="s">
        <v>97</v>
      </c>
      <c r="B20" s="74" t="s">
        <v>103</v>
      </c>
      <c r="C20" s="75" t="n">
        <v>57</v>
      </c>
      <c r="D20" s="75" t="n">
        <v>159</v>
      </c>
      <c r="E20" s="76" t="n">
        <v>91409.074</v>
      </c>
      <c r="F20" s="76" t="n">
        <v>96374.6275</v>
      </c>
      <c r="G20" s="77" t="n">
        <v>0.0320359071686166</v>
      </c>
      <c r="H20" s="58" t="n">
        <v>0.244358812136467</v>
      </c>
      <c r="I20" s="78" t="n">
        <v>22.41</v>
      </c>
      <c r="J20" s="79" t="n">
        <v>310.3</v>
      </c>
      <c r="K20" s="75" t="n">
        <v>10</v>
      </c>
      <c r="L20" s="59" t="s">
        <v>68</v>
      </c>
    </row>
    <row r="21" customFormat="false" ht="15" hidden="false" customHeight="true" outlineLevel="0" collapsed="false">
      <c r="A21" s="14" t="s">
        <v>97</v>
      </c>
      <c r="B21" s="43" t="s">
        <v>104</v>
      </c>
      <c r="C21" s="11" t="n">
        <v>57</v>
      </c>
      <c r="D21" s="11" t="n">
        <v>159</v>
      </c>
      <c r="E21" s="41" t="n">
        <v>29147.358</v>
      </c>
      <c r="F21" s="41" t="n">
        <v>34784.583</v>
      </c>
      <c r="G21" s="44" t="n">
        <v>0.0961741818494705</v>
      </c>
      <c r="H21" s="80"/>
      <c r="I21" s="45" t="n">
        <v>271.349</v>
      </c>
      <c r="J21" s="46" t="n">
        <v>294.3</v>
      </c>
      <c r="K21" s="11" t="n">
        <v>10</v>
      </c>
      <c r="L21" s="69" t="s">
        <v>74</v>
      </c>
    </row>
    <row r="22" customFormat="false" ht="15" hidden="false" customHeight="true" outlineLevel="0" collapsed="false">
      <c r="A22" s="73" t="s">
        <v>97</v>
      </c>
      <c r="B22" s="74" t="s">
        <v>105</v>
      </c>
      <c r="C22" s="75" t="n">
        <v>57</v>
      </c>
      <c r="D22" s="75" t="n">
        <v>159</v>
      </c>
      <c r="E22" s="76" t="n">
        <v>221998.122</v>
      </c>
      <c r="F22" s="76" t="n">
        <v>233170.6631</v>
      </c>
      <c r="G22" s="77" t="n">
        <v>0.0297398473152946</v>
      </c>
      <c r="H22" s="80"/>
      <c r="I22" s="78" t="n">
        <v>3.118</v>
      </c>
      <c r="J22" s="79" t="n">
        <v>345.6</v>
      </c>
      <c r="K22" s="75" t="n">
        <v>10</v>
      </c>
      <c r="L22" s="69" t="s">
        <v>74</v>
      </c>
    </row>
    <row r="23" customFormat="false" ht="15" hidden="false" customHeight="true" outlineLevel="0" collapsed="false">
      <c r="A23" s="14" t="s">
        <v>97</v>
      </c>
      <c r="B23" s="43" t="s">
        <v>106</v>
      </c>
      <c r="C23" s="11" t="n">
        <v>57</v>
      </c>
      <c r="D23" s="11" t="n">
        <v>159</v>
      </c>
      <c r="E23" s="41" t="n">
        <v>32288.285</v>
      </c>
      <c r="F23" s="41" t="n">
        <v>39920.9529</v>
      </c>
      <c r="G23" s="44" t="n">
        <v>0.101399508376966</v>
      </c>
      <c r="H23" s="80"/>
      <c r="I23" s="45" t="n">
        <v>199.488</v>
      </c>
      <c r="J23" s="46" t="n">
        <v>302.4</v>
      </c>
      <c r="K23" s="11" t="n">
        <v>10</v>
      </c>
      <c r="L23" s="69" t="s">
        <v>74</v>
      </c>
    </row>
    <row r="24" customFormat="false" ht="15" hidden="false" customHeight="true" outlineLevel="0" collapsed="false">
      <c r="A24" s="73" t="s">
        <v>97</v>
      </c>
      <c r="B24" s="74" t="s">
        <v>107</v>
      </c>
      <c r="C24" s="75" t="n">
        <v>57</v>
      </c>
      <c r="D24" s="75" t="n">
        <v>159</v>
      </c>
      <c r="E24" s="76" t="n">
        <v>29129.277</v>
      </c>
      <c r="F24" s="76" t="n">
        <v>33668.5299</v>
      </c>
      <c r="G24" s="77" t="n">
        <v>0.0864978849284417</v>
      </c>
      <c r="H24" s="47" t="n">
        <v>1.66889024734163</v>
      </c>
      <c r="I24" s="78" t="n">
        <v>118.131</v>
      </c>
      <c r="J24" s="79" t="n">
        <v>313.8</v>
      </c>
      <c r="K24" s="75" t="n">
        <v>10</v>
      </c>
      <c r="L24" s="17" t="s">
        <v>28</v>
      </c>
    </row>
    <row r="25" customFormat="false" ht="15" hidden="false" customHeight="true" outlineLevel="0" collapsed="false">
      <c r="A25" s="14" t="s">
        <v>108</v>
      </c>
      <c r="B25" s="43" t="s">
        <v>109</v>
      </c>
      <c r="C25" s="11" t="n">
        <v>76</v>
      </c>
      <c r="D25" s="11" t="n">
        <v>159</v>
      </c>
      <c r="E25" s="41" t="n">
        <v>84859.137</v>
      </c>
      <c r="F25" s="41" t="n">
        <v>89667.4419</v>
      </c>
      <c r="G25" s="44" t="n">
        <v>0.0556478398878021</v>
      </c>
      <c r="H25" s="47" t="n">
        <v>0.810108185460289</v>
      </c>
      <c r="I25" s="45" t="n">
        <v>27.196</v>
      </c>
      <c r="J25" s="46" t="n">
        <v>198.2</v>
      </c>
      <c r="K25" s="11" t="n">
        <v>10</v>
      </c>
      <c r="L25" s="17" t="s">
        <v>28</v>
      </c>
    </row>
    <row r="26" customFormat="false" ht="15" hidden="false" customHeight="true" outlineLevel="0" collapsed="false">
      <c r="A26" s="73" t="s">
        <v>108</v>
      </c>
      <c r="B26" s="74" t="s">
        <v>110</v>
      </c>
      <c r="C26" s="75" t="n">
        <v>76</v>
      </c>
      <c r="D26" s="75" t="n">
        <v>159</v>
      </c>
      <c r="E26" s="76" t="n">
        <v>138427.121</v>
      </c>
      <c r="F26" s="76" t="n">
        <v>153895.2554</v>
      </c>
      <c r="G26" s="77" t="n">
        <v>0.0740752892762671</v>
      </c>
      <c r="H26" s="58" t="n">
        <v>0.237035552210018</v>
      </c>
      <c r="I26" s="78" t="n">
        <v>224.211</v>
      </c>
      <c r="J26" s="79" t="n">
        <v>220</v>
      </c>
      <c r="K26" s="75" t="n">
        <v>10</v>
      </c>
      <c r="L26" s="59" t="s">
        <v>68</v>
      </c>
    </row>
    <row r="27" customFormat="false" ht="15" hidden="false" customHeight="true" outlineLevel="0" collapsed="false">
      <c r="A27" s="14" t="s">
        <v>108</v>
      </c>
      <c r="B27" s="43" t="s">
        <v>111</v>
      </c>
      <c r="C27" s="11" t="n">
        <v>76</v>
      </c>
      <c r="D27" s="11" t="n">
        <v>159</v>
      </c>
      <c r="E27" s="41" t="n">
        <v>80210.725</v>
      </c>
      <c r="F27" s="41" t="n">
        <v>83068.5813</v>
      </c>
      <c r="G27" s="44" t="n">
        <v>0.0332961692822362</v>
      </c>
      <c r="H27" s="47" t="n">
        <v>0.621437768695392</v>
      </c>
      <c r="I27" s="45" t="n">
        <v>15.026</v>
      </c>
      <c r="J27" s="46" t="n">
        <v>197.4</v>
      </c>
      <c r="K27" s="11" t="n">
        <v>10</v>
      </c>
      <c r="L27" s="17" t="s">
        <v>28</v>
      </c>
    </row>
    <row r="28" customFormat="false" ht="15" hidden="false" customHeight="true" outlineLevel="0" collapsed="false">
      <c r="A28" s="73" t="s">
        <v>108</v>
      </c>
      <c r="B28" s="74" t="s">
        <v>112</v>
      </c>
      <c r="C28" s="75" t="n">
        <v>76</v>
      </c>
      <c r="D28" s="75" t="n">
        <v>159</v>
      </c>
      <c r="E28" s="76" t="n">
        <v>175884.943</v>
      </c>
      <c r="F28" s="76" t="n">
        <v>185326.7338</v>
      </c>
      <c r="G28" s="77" t="n">
        <v>0.0243948337581936</v>
      </c>
      <c r="H28" s="58" t="n">
        <v>0.279767253346965</v>
      </c>
      <c r="I28" s="78" t="n">
        <v>234.161</v>
      </c>
      <c r="J28" s="79" t="n">
        <v>227.9</v>
      </c>
      <c r="K28" s="75" t="n">
        <v>10</v>
      </c>
      <c r="L28" s="59" t="s">
        <v>68</v>
      </c>
    </row>
    <row r="29" customFormat="false" ht="15" hidden="false" customHeight="true" outlineLevel="0" collapsed="false">
      <c r="A29" s="14" t="s">
        <v>108</v>
      </c>
      <c r="B29" s="43" t="s">
        <v>113</v>
      </c>
      <c r="C29" s="11" t="n">
        <v>76</v>
      </c>
      <c r="D29" s="11" t="n">
        <v>159</v>
      </c>
      <c r="E29" s="41" t="n">
        <v>65546.131</v>
      </c>
      <c r="F29" s="41" t="n">
        <v>74736.8812</v>
      </c>
      <c r="G29" s="44" t="n">
        <v>0.0701716526404904</v>
      </c>
      <c r="H29" s="47" t="n">
        <v>0.510417959507901</v>
      </c>
      <c r="I29" s="45" t="n">
        <v>30.353</v>
      </c>
      <c r="J29" s="46" t="n">
        <v>203.1</v>
      </c>
      <c r="K29" s="11" t="n">
        <v>10</v>
      </c>
      <c r="L29" s="17" t="s">
        <v>28</v>
      </c>
    </row>
    <row r="30" customFormat="false" ht="15" hidden="false" customHeight="true" outlineLevel="0" collapsed="false">
      <c r="A30" s="73" t="s">
        <v>108</v>
      </c>
      <c r="B30" s="74" t="s">
        <v>114</v>
      </c>
      <c r="C30" s="75" t="n">
        <v>76</v>
      </c>
      <c r="D30" s="75" t="n">
        <v>159</v>
      </c>
      <c r="E30" s="76" t="n">
        <v>93470.445</v>
      </c>
      <c r="F30" s="76" t="n">
        <v>106678.5215</v>
      </c>
      <c r="G30" s="77" t="n">
        <v>0.0560470625757595</v>
      </c>
      <c r="H30" s="58" t="n">
        <v>0.216884197622511</v>
      </c>
      <c r="I30" s="78" t="n">
        <v>71.979</v>
      </c>
      <c r="J30" s="79" t="n">
        <v>192.2</v>
      </c>
      <c r="K30" s="75" t="n">
        <v>10</v>
      </c>
      <c r="L30" s="59" t="s">
        <v>68</v>
      </c>
    </row>
    <row r="31" customFormat="false" ht="15" hidden="false" customHeight="true" outlineLevel="0" collapsed="false">
      <c r="A31" s="14" t="s">
        <v>108</v>
      </c>
      <c r="B31" s="43" t="s">
        <v>115</v>
      </c>
      <c r="C31" s="11" t="n">
        <v>76</v>
      </c>
      <c r="D31" s="11" t="n">
        <v>159</v>
      </c>
      <c r="E31" s="41" t="n">
        <v>37988.441</v>
      </c>
      <c r="F31" s="41" t="n">
        <v>44841.4432</v>
      </c>
      <c r="G31" s="44" t="n">
        <v>0.0986583708349512</v>
      </c>
      <c r="H31" s="47" t="n">
        <v>0.922551400754345</v>
      </c>
      <c r="I31" s="45" t="n">
        <v>91.207</v>
      </c>
      <c r="J31" s="46" t="n">
        <v>187.2</v>
      </c>
      <c r="K31" s="11" t="n">
        <v>10</v>
      </c>
      <c r="L31" s="17" t="s">
        <v>28</v>
      </c>
    </row>
    <row r="32" customFormat="false" ht="15" hidden="false" customHeight="true" outlineLevel="0" collapsed="false">
      <c r="A32" s="73" t="s">
        <v>108</v>
      </c>
      <c r="B32" s="74" t="s">
        <v>116</v>
      </c>
      <c r="C32" s="75" t="n">
        <v>76</v>
      </c>
      <c r="D32" s="75" t="n">
        <v>159</v>
      </c>
      <c r="E32" s="76" t="n">
        <v>220622.768</v>
      </c>
      <c r="F32" s="76" t="n">
        <v>247452.0466</v>
      </c>
      <c r="G32" s="77" t="n">
        <v>0.0430249224659272</v>
      </c>
      <c r="H32" s="58" t="n">
        <v>0.262859831043243</v>
      </c>
      <c r="I32" s="78" t="n">
        <v>63.737</v>
      </c>
      <c r="J32" s="79" t="n">
        <v>210.8</v>
      </c>
      <c r="K32" s="75" t="n">
        <v>10</v>
      </c>
      <c r="L32" s="59" t="s">
        <v>68</v>
      </c>
    </row>
    <row r="33" customFormat="false" ht="15" hidden="false" customHeight="true" outlineLevel="0" collapsed="false">
      <c r="A33" s="14" t="s">
        <v>108</v>
      </c>
      <c r="B33" s="43" t="s">
        <v>117</v>
      </c>
      <c r="C33" s="11" t="n">
        <v>76</v>
      </c>
      <c r="D33" s="11" t="n">
        <v>159</v>
      </c>
      <c r="E33" s="41" t="n">
        <v>46549.061</v>
      </c>
      <c r="F33" s="41" t="n">
        <v>50457.9224</v>
      </c>
      <c r="G33" s="44" t="n">
        <v>0.0489086357229801</v>
      </c>
      <c r="H33" s="47" t="n">
        <v>0.885399616383307</v>
      </c>
      <c r="I33" s="45" t="n">
        <v>193.511</v>
      </c>
      <c r="J33" s="46" t="n">
        <v>188.2</v>
      </c>
      <c r="K33" s="11" t="n">
        <v>10</v>
      </c>
      <c r="L33" s="17" t="s">
        <v>28</v>
      </c>
    </row>
    <row r="34" customFormat="false" ht="15" hidden="false" customHeight="true" outlineLevel="0" collapsed="false">
      <c r="A34" s="73" t="s">
        <v>108</v>
      </c>
      <c r="B34" s="74" t="s">
        <v>118</v>
      </c>
      <c r="C34" s="75" t="n">
        <v>76</v>
      </c>
      <c r="D34" s="75" t="n">
        <v>159</v>
      </c>
      <c r="E34" s="76" t="n">
        <v>36754.107</v>
      </c>
      <c r="F34" s="76" t="n">
        <v>45072.8832</v>
      </c>
      <c r="G34" s="77" t="n">
        <v>0.12270931327952</v>
      </c>
      <c r="H34" s="47" t="n">
        <v>1.74790220176201</v>
      </c>
      <c r="I34" s="78" t="n">
        <v>366.719</v>
      </c>
      <c r="J34" s="79" t="n">
        <v>198.5</v>
      </c>
      <c r="K34" s="75" t="n">
        <v>10</v>
      </c>
      <c r="L34" s="17" t="s">
        <v>28</v>
      </c>
    </row>
    <row r="35" customFormat="false" ht="15" hidden="false" customHeight="true" outlineLevel="0" collapsed="false">
      <c r="A35" s="14" t="s">
        <v>119</v>
      </c>
      <c r="B35" s="43" t="s">
        <v>120</v>
      </c>
      <c r="C35" s="11" t="n">
        <v>95</v>
      </c>
      <c r="D35" s="11" t="n">
        <v>159</v>
      </c>
      <c r="E35" s="41" t="n">
        <v>85971.92</v>
      </c>
      <c r="F35" s="41" t="n">
        <v>100995.0926</v>
      </c>
      <c r="G35" s="44" t="n">
        <v>0.0689691369024003</v>
      </c>
      <c r="H35" s="47" t="n">
        <v>0.701345677580169</v>
      </c>
      <c r="I35" s="45" t="n">
        <v>99.234</v>
      </c>
      <c r="J35" s="46" t="n">
        <v>139.6</v>
      </c>
      <c r="K35" s="11" t="n">
        <v>10</v>
      </c>
      <c r="L35" s="17" t="s">
        <v>28</v>
      </c>
    </row>
    <row r="36" customFormat="false" ht="15" hidden="false" customHeight="true" outlineLevel="0" collapsed="false">
      <c r="A36" s="73" t="s">
        <v>119</v>
      </c>
      <c r="B36" s="74" t="s">
        <v>121</v>
      </c>
      <c r="C36" s="75" t="n">
        <v>95</v>
      </c>
      <c r="D36" s="75" t="n">
        <v>159</v>
      </c>
      <c r="E36" s="76" t="n">
        <v>171441.287</v>
      </c>
      <c r="F36" s="76" t="n">
        <v>182218.5989</v>
      </c>
      <c r="G36" s="77" t="n">
        <v>0.0337332054472295</v>
      </c>
      <c r="H36" s="47" t="n">
        <v>0.468572396876244</v>
      </c>
      <c r="I36" s="78" t="n">
        <v>8.695</v>
      </c>
      <c r="J36" s="79" t="n">
        <v>154.8</v>
      </c>
      <c r="K36" s="75" t="n">
        <v>10</v>
      </c>
      <c r="L36" s="17" t="s">
        <v>28</v>
      </c>
    </row>
    <row r="37" customFormat="false" ht="15" hidden="false" customHeight="true" outlineLevel="0" collapsed="false">
      <c r="A37" s="14" t="s">
        <v>119</v>
      </c>
      <c r="B37" s="43" t="s">
        <v>122</v>
      </c>
      <c r="C37" s="11" t="n">
        <v>95</v>
      </c>
      <c r="D37" s="11" t="n">
        <v>159</v>
      </c>
      <c r="E37" s="41" t="n">
        <v>87932.083</v>
      </c>
      <c r="F37" s="41" t="n">
        <v>95527.2692</v>
      </c>
      <c r="G37" s="44" t="n">
        <v>0.0480387710486337</v>
      </c>
      <c r="H37" s="47" t="n">
        <v>0.641428529054473</v>
      </c>
      <c r="I37" s="45" t="n">
        <v>73.738</v>
      </c>
      <c r="J37" s="46" t="n">
        <v>138.8</v>
      </c>
      <c r="K37" s="11" t="n">
        <v>10</v>
      </c>
      <c r="L37" s="17" t="s">
        <v>28</v>
      </c>
    </row>
    <row r="38" customFormat="false" ht="15" hidden="false" customHeight="true" outlineLevel="0" collapsed="false">
      <c r="A38" s="73" t="s">
        <v>119</v>
      </c>
      <c r="B38" s="74" t="s">
        <v>123</v>
      </c>
      <c r="C38" s="75" t="n">
        <v>95</v>
      </c>
      <c r="D38" s="75" t="n">
        <v>159</v>
      </c>
      <c r="E38" s="76" t="n">
        <v>181417.469</v>
      </c>
      <c r="F38" s="76" t="n">
        <v>195090.1536</v>
      </c>
      <c r="G38" s="77" t="n">
        <v>0.0443421917117195</v>
      </c>
      <c r="H38" s="58" t="n">
        <v>0.286249586679674</v>
      </c>
      <c r="I38" s="78" t="n">
        <v>35.718</v>
      </c>
      <c r="J38" s="79" t="n">
        <v>158.9</v>
      </c>
      <c r="K38" s="75" t="n">
        <v>10</v>
      </c>
      <c r="L38" s="59" t="s">
        <v>68</v>
      </c>
    </row>
    <row r="39" customFormat="false" ht="15" hidden="false" customHeight="true" outlineLevel="0" collapsed="false">
      <c r="A39" s="14" t="s">
        <v>119</v>
      </c>
      <c r="B39" s="43" t="s">
        <v>124</v>
      </c>
      <c r="C39" s="11" t="n">
        <v>95</v>
      </c>
      <c r="D39" s="11" t="n">
        <v>159</v>
      </c>
      <c r="E39" s="41" t="n">
        <v>71430.749</v>
      </c>
      <c r="F39" s="41" t="n">
        <v>82527.0001</v>
      </c>
      <c r="G39" s="44" t="n">
        <v>0.0801223837772821</v>
      </c>
      <c r="H39" s="47" t="n">
        <v>0.548191367104098</v>
      </c>
      <c r="I39" s="45" t="n">
        <v>109.362</v>
      </c>
      <c r="J39" s="46" t="n">
        <v>141.6</v>
      </c>
      <c r="K39" s="11" t="n">
        <v>10</v>
      </c>
      <c r="L39" s="17" t="s">
        <v>28</v>
      </c>
    </row>
    <row r="40" customFormat="false" ht="15" hidden="false" customHeight="true" outlineLevel="0" collapsed="false">
      <c r="A40" s="73" t="s">
        <v>119</v>
      </c>
      <c r="B40" s="74" t="s">
        <v>125</v>
      </c>
      <c r="C40" s="75" t="n">
        <v>95</v>
      </c>
      <c r="D40" s="75" t="n">
        <v>159</v>
      </c>
      <c r="E40" s="76" t="n">
        <v>106434.55</v>
      </c>
      <c r="F40" s="76" t="n">
        <v>116533.9595</v>
      </c>
      <c r="G40" s="77" t="n">
        <v>0.0538428714592848</v>
      </c>
      <c r="H40" s="47" t="n">
        <v>0.319185063799696</v>
      </c>
      <c r="I40" s="78" t="n">
        <v>196.882</v>
      </c>
      <c r="J40" s="79" t="n">
        <v>134.7</v>
      </c>
      <c r="K40" s="75" t="n">
        <v>10</v>
      </c>
      <c r="L40" s="17" t="s">
        <v>28</v>
      </c>
    </row>
    <row r="41" customFormat="false" ht="15" hidden="false" customHeight="true" outlineLevel="0" collapsed="false">
      <c r="A41" s="14" t="s">
        <v>119</v>
      </c>
      <c r="B41" s="43" t="s">
        <v>126</v>
      </c>
      <c r="C41" s="11" t="n">
        <v>95</v>
      </c>
      <c r="D41" s="11" t="n">
        <v>159</v>
      </c>
      <c r="E41" s="41" t="n">
        <v>50024.776</v>
      </c>
      <c r="F41" s="41" t="n">
        <v>56754.2575</v>
      </c>
      <c r="G41" s="44" t="n">
        <v>0.0617424059155386</v>
      </c>
      <c r="H41" s="47" t="n">
        <v>1.25680605452008</v>
      </c>
      <c r="I41" s="45" t="n">
        <v>285.256</v>
      </c>
      <c r="J41" s="46" t="n">
        <v>132.4</v>
      </c>
      <c r="K41" s="11" t="n">
        <v>10</v>
      </c>
      <c r="L41" s="17" t="s">
        <v>28</v>
      </c>
    </row>
    <row r="42" customFormat="false" ht="15" hidden="false" customHeight="true" outlineLevel="0" collapsed="false">
      <c r="A42" s="73" t="s">
        <v>119</v>
      </c>
      <c r="B42" s="74" t="s">
        <v>127</v>
      </c>
      <c r="C42" s="75" t="n">
        <v>95</v>
      </c>
      <c r="D42" s="75" t="n">
        <v>159</v>
      </c>
      <c r="E42" s="76" t="n">
        <v>253991.037</v>
      </c>
      <c r="F42" s="76" t="n">
        <v>264877.4125</v>
      </c>
      <c r="G42" s="77" t="n">
        <v>0.0226864991668552</v>
      </c>
      <c r="H42" s="47" t="n">
        <v>0.430643068814693</v>
      </c>
      <c r="I42" s="78" t="n">
        <v>49.797</v>
      </c>
      <c r="J42" s="79" t="n">
        <v>145.9</v>
      </c>
      <c r="K42" s="75" t="n">
        <v>10</v>
      </c>
      <c r="L42" s="17" t="s">
        <v>28</v>
      </c>
    </row>
    <row r="43" customFormat="false" ht="15" hidden="false" customHeight="true" outlineLevel="0" collapsed="false">
      <c r="A43" s="14" t="s">
        <v>119</v>
      </c>
      <c r="B43" s="43" t="s">
        <v>128</v>
      </c>
      <c r="C43" s="11" t="n">
        <v>95</v>
      </c>
      <c r="D43" s="11" t="n">
        <v>159</v>
      </c>
      <c r="E43" s="41" t="n">
        <v>54351.447</v>
      </c>
      <c r="F43" s="41" t="n">
        <v>61310.6011</v>
      </c>
      <c r="G43" s="44" t="n">
        <v>0.088227266002127</v>
      </c>
      <c r="H43" s="47" t="n">
        <v>0.896825723105856</v>
      </c>
      <c r="I43" s="45" t="n">
        <v>125.661</v>
      </c>
      <c r="J43" s="46" t="n">
        <v>134.3</v>
      </c>
      <c r="K43" s="11" t="n">
        <v>10</v>
      </c>
      <c r="L43" s="17" t="s">
        <v>28</v>
      </c>
    </row>
    <row r="44" customFormat="false" ht="15" hidden="false" customHeight="true" outlineLevel="0" collapsed="false">
      <c r="A44" s="73" t="s">
        <v>119</v>
      </c>
      <c r="B44" s="74" t="s">
        <v>129</v>
      </c>
      <c r="C44" s="75" t="n">
        <v>95</v>
      </c>
      <c r="D44" s="75" t="n">
        <v>159</v>
      </c>
      <c r="E44" s="76" t="n">
        <v>50259.398</v>
      </c>
      <c r="F44" s="76" t="n">
        <v>57318.4665</v>
      </c>
      <c r="G44" s="77" t="n">
        <v>0.0756027273514025</v>
      </c>
      <c r="H44" s="47" t="n">
        <v>1.96269343065263</v>
      </c>
      <c r="I44" s="78" t="n">
        <v>34.769</v>
      </c>
      <c r="J44" s="79" t="n">
        <v>137.4</v>
      </c>
      <c r="K44" s="75" t="n">
        <v>10</v>
      </c>
      <c r="L44" s="17" t="s">
        <v>28</v>
      </c>
    </row>
    <row r="45" customFormat="false" ht="15" hidden="false" customHeight="true" outlineLevel="0" collapsed="false">
      <c r="A45" s="14" t="s">
        <v>130</v>
      </c>
      <c r="B45" s="43" t="s">
        <v>131</v>
      </c>
      <c r="C45" s="11" t="n">
        <v>25</v>
      </c>
      <c r="D45" s="11" t="n">
        <v>160</v>
      </c>
      <c r="E45" s="41" t="n">
        <v>93422.649</v>
      </c>
      <c r="F45" s="41" t="n">
        <v>99359.6465</v>
      </c>
      <c r="G45" s="44" t="n">
        <v>0.0314446457395559</v>
      </c>
      <c r="H45" s="55" t="n">
        <v>0.0829767843695664</v>
      </c>
      <c r="I45" s="45" t="n">
        <v>78.099</v>
      </c>
      <c r="J45" s="46" t="n">
        <v>1480.4</v>
      </c>
      <c r="K45" s="11" t="n">
        <v>10</v>
      </c>
      <c r="L45" s="25" t="s">
        <v>35</v>
      </c>
    </row>
    <row r="46" customFormat="false" ht="15" hidden="false" customHeight="true" outlineLevel="0" collapsed="false">
      <c r="A46" s="73" t="s">
        <v>130</v>
      </c>
      <c r="B46" s="74" t="s">
        <v>132</v>
      </c>
      <c r="C46" s="75" t="n">
        <v>19</v>
      </c>
      <c r="D46" s="75" t="n">
        <v>159</v>
      </c>
      <c r="E46" s="76" t="n">
        <v>90410.515</v>
      </c>
      <c r="F46" s="76" t="n">
        <v>94366.0465</v>
      </c>
      <c r="G46" s="77" t="n">
        <v>0.0218690600649461</v>
      </c>
      <c r="H46" s="58" t="n">
        <v>-0.0954489877605571</v>
      </c>
      <c r="I46" s="78" t="n">
        <v>37.774</v>
      </c>
      <c r="J46" s="79" t="n">
        <v>2772</v>
      </c>
      <c r="K46" s="75" t="n">
        <v>10</v>
      </c>
      <c r="L46" s="59" t="s">
        <v>78</v>
      </c>
    </row>
    <row r="47" customFormat="false" ht="15" hidden="false" customHeight="true" outlineLevel="0" collapsed="false">
      <c r="A47" s="14" t="s">
        <v>130</v>
      </c>
      <c r="B47" s="43" t="s">
        <v>133</v>
      </c>
      <c r="C47" s="11" t="n">
        <v>19</v>
      </c>
      <c r="D47" s="11" t="n">
        <v>159</v>
      </c>
      <c r="E47" s="41" t="n">
        <v>44164.765</v>
      </c>
      <c r="F47" s="41" t="n">
        <v>46145.78775</v>
      </c>
      <c r="G47" s="44" t="n">
        <v>0.0280983724678772</v>
      </c>
      <c r="H47" s="55" t="n">
        <v>0.112597871786577</v>
      </c>
      <c r="I47" s="45" t="n">
        <v>56.604</v>
      </c>
      <c r="J47" s="46" t="n">
        <v>2514</v>
      </c>
      <c r="K47" s="11" t="n">
        <v>8</v>
      </c>
      <c r="L47" s="25" t="s">
        <v>35</v>
      </c>
    </row>
    <row r="48" customFormat="false" ht="15" hidden="false" customHeight="true" outlineLevel="0" collapsed="false">
      <c r="A48" s="73" t="s">
        <v>130</v>
      </c>
      <c r="B48" s="74" t="s">
        <v>134</v>
      </c>
      <c r="C48" s="75" t="n">
        <v>19</v>
      </c>
      <c r="D48" s="75" t="n">
        <v>159</v>
      </c>
      <c r="E48" s="76" t="n">
        <v>129960.188</v>
      </c>
      <c r="F48" s="76" t="n">
        <v>131936.2173</v>
      </c>
      <c r="G48" s="77" t="n">
        <v>0.00700136486329292</v>
      </c>
      <c r="H48" s="60" t="n">
        <v>0.0174922288321367</v>
      </c>
      <c r="I48" s="78" t="n">
        <v>113.609</v>
      </c>
      <c r="J48" s="79" t="n">
        <v>3339.6</v>
      </c>
      <c r="K48" s="75" t="n">
        <v>10</v>
      </c>
      <c r="L48" s="34" t="s">
        <v>69</v>
      </c>
    </row>
    <row r="49" customFormat="false" ht="15" hidden="false" customHeight="true" outlineLevel="0" collapsed="false">
      <c r="A49" s="14" t="s">
        <v>130</v>
      </c>
      <c r="B49" s="43" t="s">
        <v>135</v>
      </c>
      <c r="C49" s="11" t="n">
        <v>19</v>
      </c>
      <c r="D49" s="11" t="n">
        <v>159</v>
      </c>
      <c r="E49" s="41" t="n">
        <v>32050.424</v>
      </c>
      <c r="F49" s="41" t="n">
        <v>35795.6651</v>
      </c>
      <c r="G49" s="44" t="n">
        <v>0.0520189277052992</v>
      </c>
      <c r="H49" s="58" t="n">
        <v>-0.0952888715708551</v>
      </c>
      <c r="I49" s="45" t="n">
        <v>301.834</v>
      </c>
      <c r="J49" s="46" t="n">
        <v>2423.2</v>
      </c>
      <c r="K49" s="11" t="n">
        <v>10</v>
      </c>
      <c r="L49" s="59" t="s">
        <v>78</v>
      </c>
    </row>
    <row r="50" customFormat="false" ht="15" hidden="false" customHeight="true" outlineLevel="0" collapsed="false">
      <c r="A50" s="73" t="s">
        <v>130</v>
      </c>
      <c r="B50" s="74" t="s">
        <v>136</v>
      </c>
      <c r="C50" s="75" t="n">
        <v>19</v>
      </c>
      <c r="D50" s="75" t="n">
        <v>159</v>
      </c>
      <c r="E50" s="76" t="n">
        <v>62875.718</v>
      </c>
      <c r="F50" s="76" t="n">
        <v>64601.5274</v>
      </c>
      <c r="G50" s="77" t="n">
        <v>0.0186251489001172</v>
      </c>
      <c r="H50" s="58" t="n">
        <v>-0.0570169413914264</v>
      </c>
      <c r="I50" s="78" t="n">
        <v>135.667</v>
      </c>
      <c r="J50" s="79" t="n">
        <v>2373.4</v>
      </c>
      <c r="K50" s="75" t="n">
        <v>10</v>
      </c>
      <c r="L50" s="59" t="s">
        <v>78</v>
      </c>
    </row>
    <row r="51" customFormat="false" ht="15" hidden="false" customHeight="true" outlineLevel="0" collapsed="false">
      <c r="A51" s="14" t="s">
        <v>130</v>
      </c>
      <c r="B51" s="43" t="s">
        <v>137</v>
      </c>
      <c r="C51" s="11" t="n">
        <v>19</v>
      </c>
      <c r="D51" s="11" t="n">
        <v>159</v>
      </c>
      <c r="E51" s="41" t="n">
        <v>12475.028</v>
      </c>
      <c r="F51" s="41" t="n">
        <v>13471.7737</v>
      </c>
      <c r="G51" s="44" t="n">
        <v>0.0310931395767137</v>
      </c>
      <c r="H51" s="58" t="n">
        <v>0.180384038859196</v>
      </c>
      <c r="I51" s="45" t="n">
        <v>27.67</v>
      </c>
      <c r="J51" s="46" t="n">
        <v>2248.4</v>
      </c>
      <c r="K51" s="11" t="n">
        <v>10</v>
      </c>
      <c r="L51" s="59" t="s">
        <v>68</v>
      </c>
    </row>
    <row r="52" customFormat="false" ht="15" hidden="false" customHeight="true" outlineLevel="0" collapsed="false">
      <c r="A52" s="73" t="s">
        <v>130</v>
      </c>
      <c r="B52" s="74" t="s">
        <v>138</v>
      </c>
      <c r="C52" s="75" t="n">
        <v>19</v>
      </c>
      <c r="D52" s="75" t="n">
        <v>159</v>
      </c>
      <c r="E52" s="76" t="n">
        <v>170774.817</v>
      </c>
      <c r="F52" s="76" t="n">
        <v>173723.4726</v>
      </c>
      <c r="G52" s="77" t="n">
        <v>0.0131148128281198</v>
      </c>
      <c r="H52" s="55" t="n">
        <v>0.0612936437320146</v>
      </c>
      <c r="I52" s="78" t="n">
        <v>80.722</v>
      </c>
      <c r="J52" s="79" t="n">
        <v>2639.6</v>
      </c>
      <c r="K52" s="75" t="n">
        <v>10</v>
      </c>
      <c r="L52" s="25" t="s">
        <v>35</v>
      </c>
    </row>
    <row r="53" customFormat="false" ht="15" hidden="false" customHeight="true" outlineLevel="0" collapsed="false">
      <c r="A53" s="14" t="s">
        <v>130</v>
      </c>
      <c r="B53" s="43" t="s">
        <v>139</v>
      </c>
      <c r="C53" s="11" t="n">
        <v>19</v>
      </c>
      <c r="D53" s="11" t="n">
        <v>159</v>
      </c>
      <c r="E53" s="41" t="n">
        <v>16519.851</v>
      </c>
      <c r="F53" s="41" t="n">
        <v>17728.2286</v>
      </c>
      <c r="G53" s="44" t="n">
        <v>0.0497645833041661</v>
      </c>
      <c r="H53" s="55" t="n">
        <v>0.0570731211331619</v>
      </c>
      <c r="I53" s="45" t="n">
        <v>15.616</v>
      </c>
      <c r="J53" s="46" t="n">
        <v>2879.2</v>
      </c>
      <c r="K53" s="11" t="n">
        <v>10</v>
      </c>
      <c r="L53" s="25" t="s">
        <v>35</v>
      </c>
    </row>
    <row r="54" customFormat="false" ht="15" hidden="false" customHeight="true" outlineLevel="0" collapsed="false">
      <c r="A54" s="73" t="s">
        <v>130</v>
      </c>
      <c r="B54" s="74" t="s">
        <v>140</v>
      </c>
      <c r="C54" s="75" t="n">
        <v>19</v>
      </c>
      <c r="D54" s="75" t="n">
        <v>159</v>
      </c>
      <c r="E54" s="76" t="n">
        <v>7422.331</v>
      </c>
      <c r="F54" s="76" t="n">
        <v>8600.3351</v>
      </c>
      <c r="G54" s="77" t="n">
        <v>0.0817243174629324</v>
      </c>
      <c r="H54" s="47" t="n">
        <v>0.316116943709164</v>
      </c>
      <c r="I54" s="78" t="n">
        <v>49.429</v>
      </c>
      <c r="J54" s="79" t="n">
        <v>2483.9</v>
      </c>
      <c r="K54" s="75" t="n">
        <v>10</v>
      </c>
      <c r="L54" s="17" t="s">
        <v>28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2026-05-15T16:50:36Z</dcterms:created>
  <dc:creator>openpyxl</dc:creator>
  <dc:description/>
  <dc:language>en-US</dc:language>
  <cp:lastModifiedBy/>
  <dcterms:modified xsi:type="dcterms:W3CDTF">2026-05-15T16:50:52Z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
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 Completos" sheetId="1" state="visible" r:id="rId3"/>
    <sheet name="Resumo por Dataset" sheetId="2" state="visible" r:id="rId4"/>
    <sheet name="Destaques" sheetId="3" state="visible" r:id="rId5"/>
    <sheet name="Análise Cross-run PR" sheetId="4" state="visible" r:id="rId6"/>
    <sheet name="Metodologi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<sst xmlns="http://schemas.openxmlformats.org/spreadsheetml/2006/main" count="387" uniqueCount="148">
  <si>
    <t xml:space="preserve">PSP — Comparação GRASP v1.0 (30 min) × GRASP v2.0 (60 min) × MIP Bound (CPLEX 22)</t>
  </si>
  <si>
    <t xml:space="preserve">Instância</t>
  </si>
  <si>
    <t xml:space="preserve">GRASP v2.0 — 60 min</t>
  </si>
  <si>
    <t xml:space="preserve">GRASP v1.0 — 30 min</t>
  </si>
  <si>
    <t xml:space="preserve">MIP Bound (CPLEX 22)</t>
  </si>
  <si>
    <t xml:space="preserve">Melhoria v1→v2</t>
  </si>
  <si>
    <t xml:space="preserve">Dispersão v2.0</t>
  </si>
  <si>
    <t xml:space="preserve">Dataset</t>
  </si>
  <si>
    <t xml:space="preserve">Z_best</t>
  </si>
  <si>
    <t xml:space="preserve">Z_mean</t>
  </si>
  <si>
    <t xml:space="preserve">Gap_best (%)</t>
  </si>
  <si>
    <t xml:space="preserve">Gap_mean (%)</t>
  </si>
  <si>
    <t xml:space="preserve">ILS iters</t>
  </si>
  <si>
    <t xml:space="preserve">MIP Bound</t>
  </si>
  <si>
    <t xml:space="preserve">ΔZ_best</t>
  </si>
  <si>
    <t xml:space="preserve">ΔGap_best (p.p.)</t>
  </si>
  <si>
    <t xml:space="preserve">Melhoria (%)</t>
  </si>
  <si>
    <t xml:space="preserve">ILS iters gain (×)</t>
  </si>
  <si>
    <t xml:space="preserve">Z_std</t>
  </si>
  <si>
    <t xml:space="preserve">Z_worst</t>
  </si>
  <si>
    <t xml:space="preserve">Real</t>
  </si>
  <si>
    <t xml:space="preserve">Ale_1</t>
  </si>
  <si>
    <t xml:space="preserve">Ale_10</t>
  </si>
  <si>
    <t xml:space="preserve">Ale_2</t>
  </si>
  <si>
    <t xml:space="preserve">Ale_3</t>
  </si>
  <si>
    <t xml:space="preserve">Ale_4</t>
  </si>
  <si>
    <t xml:space="preserve">Ale_5</t>
  </si>
  <si>
    <t xml:space="preserve">Ale_6</t>
  </si>
  <si>
    <t xml:space="preserve">Ale_7</t>
  </si>
  <si>
    <t xml:space="preserve">Ale_8</t>
  </si>
  <si>
    <t xml:space="preserve">Ale_9</t>
  </si>
  <si>
    <t xml:space="preserve">2X</t>
  </si>
  <si>
    <t xml:space="preserve">IncT2X_1</t>
  </si>
  <si>
    <t xml:space="preserve">IncT2X_10</t>
  </si>
  <si>
    <t xml:space="preserve">IncT2X_2</t>
  </si>
  <si>
    <t xml:space="preserve">IncT2X_3</t>
  </si>
  <si>
    <t xml:space="preserve">IncT2X_4</t>
  </si>
  <si>
    <t xml:space="preserve">IncT2X_5</t>
  </si>
  <si>
    <t xml:space="preserve">IncT2X_6</t>
  </si>
  <si>
    <t xml:space="preserve">IncT2X_7</t>
  </si>
  <si>
    <t xml:space="preserve">IncT2X_8</t>
  </si>
  <si>
    <t xml:space="preserve">IncT2X_9</t>
  </si>
  <si>
    <t xml:space="preserve">3X</t>
  </si>
  <si>
    <t xml:space="preserve">IncT3x_1</t>
  </si>
  <si>
    <t xml:space="preserve">IncT3x_10</t>
  </si>
  <si>
    <t xml:space="preserve">IncT3x_2</t>
  </si>
  <si>
    <t xml:space="preserve">IncT3x_3</t>
  </si>
  <si>
    <t xml:space="preserve">IncT3x_4</t>
  </si>
  <si>
    <t xml:space="preserve">IncT3x_5</t>
  </si>
  <si>
    <t xml:space="preserve">IncT3x_6</t>
  </si>
  <si>
    <t xml:space="preserve">IncT3x_7</t>
  </si>
  <si>
    <t xml:space="preserve">IncT3x_8</t>
  </si>
  <si>
    <t xml:space="preserve">IncT3x_9</t>
  </si>
  <si>
    <t xml:space="preserve">4X</t>
  </si>
  <si>
    <t xml:space="preserve">IncT4x_1</t>
  </si>
  <si>
    <t xml:space="preserve">IncT4x_10</t>
  </si>
  <si>
    <t xml:space="preserve">IncT4x_2</t>
  </si>
  <si>
    <t xml:space="preserve">IncT4x_3</t>
  </si>
  <si>
    <t xml:space="preserve">IncT4x_4</t>
  </si>
  <si>
    <t xml:space="preserve">IncT4x_5</t>
  </si>
  <si>
    <t xml:space="preserve">IncT4x_6</t>
  </si>
  <si>
    <t xml:space="preserve">IncT4x_7</t>
  </si>
  <si>
    <t xml:space="preserve">IncT4x_8</t>
  </si>
  <si>
    <t xml:space="preserve">IncT4x_9</t>
  </si>
  <si>
    <t xml:space="preserve">5X</t>
  </si>
  <si>
    <t xml:space="preserve">IncT5x_1</t>
  </si>
  <si>
    <t xml:space="preserve">IncT5x_10</t>
  </si>
  <si>
    <t xml:space="preserve">IncT5x_2</t>
  </si>
  <si>
    <t xml:space="preserve">IncT5x_3</t>
  </si>
  <si>
    <t xml:space="preserve">IncT5x_4</t>
  </si>
  <si>
    <t xml:space="preserve">IncT5x_5</t>
  </si>
  <si>
    <t xml:space="preserve">IncT5x_6</t>
  </si>
  <si>
    <t xml:space="preserve">IncT5x_7</t>
  </si>
  <si>
    <t xml:space="preserve">IncT5x_8</t>
  </si>
  <si>
    <t xml:space="preserve">IncT5x_9</t>
  </si>
  <si>
    <t xml:space="preserve">Resumo por Dataset — GRASP v1.0 vs v2.0</t>
  </si>
  <si>
    <t xml:space="preserve">T range</t>
  </si>
  <si>
    <t xml:space="preserve">N inst.</t>
  </si>
  <si>
    <t xml:space="preserve">v2 Gap_best médio (%)</t>
  </si>
  <si>
    <t xml:space="preserve">v2 Gap_mean médio (%)</t>
  </si>
  <si>
    <t xml:space="preserve">v1 Gap_best médio (%)</t>
  </si>
  <si>
    <t xml:space="preserve">v1 Gap_mean médio (%)</t>
  </si>
  <si>
    <t xml:space="preserve">Redução gap (p.p.)</t>
  </si>
  <si>
    <t xml:space="preserve">Melhoria relativa (%)</t>
  </si>
  <si>
    <t xml:space="preserve">v2 ILS iters médio</t>
  </si>
  <si>
    <t xml:space="preserve">v1 ILS iters médio</t>
  </si>
  <si>
    <t xml:space="preserve">Ganho iters (×)</t>
  </si>
  <si>
    <t xml:space="preserve">Instâncias &lt; 5% gap</t>
  </si>
  <si>
    <t xml:space="preserve">19–25</t>
  </si>
  <si>
    <t xml:space="preserve">10/10</t>
  </si>
  <si>
    <t xml:space="preserve">38–50</t>
  </si>
  <si>
    <t xml:space="preserve">8/10</t>
  </si>
  <si>
    <t xml:space="preserve">57–75</t>
  </si>
  <si>
    <t xml:space="preserve">2/10</t>
  </si>
  <si>
    <t xml:space="preserve">76–80</t>
  </si>
  <si>
    <t xml:space="preserve">3/10</t>
  </si>
  <si>
    <t xml:space="preserve">90–95</t>
  </si>
  <si>
    <t xml:space="preserve">0/10</t>
  </si>
  <si>
    <t xml:space="preserve">TOTAL / MÉDIA</t>
  </si>
  <si>
    <t xml:space="preserve">Destaques — Melhores e Piores Instâncias por Dataset (v2.0)</t>
  </si>
  <si>
    <t xml:space="preserve">Categoria</t>
  </si>
  <si>
    <t xml:space="preserve">Z_best v2</t>
  </si>
  <si>
    <t xml:space="preserve">Gap_best v2 (%)</t>
  </si>
  <si>
    <t xml:space="preserve">Gap_best v1 (%)</t>
  </si>
  <si>
    <t xml:space="preserve">ΔGap (p.p.)</t>
  </si>
  <si>
    <t xml:space="preserve">ILS iters v2</t>
  </si>
  <si>
    <t xml:space="preserve">Observação</t>
  </si>
  <si>
    <t xml:space="preserve">Melhor</t>
  </si>
  <si>
    <t xml:space="preserve">&lt; 1% gap</t>
  </si>
  <si>
    <t xml:space="preserve">Pior</t>
  </si>
  <si>
    <t xml:space="preserve">2.62%</t>
  </si>
  <si>
    <t xml:space="preserve">6.13%</t>
  </si>
  <si>
    <t xml:space="preserve">2.44%</t>
  </si>
  <si>
    <t xml:space="preserve">22.89%</t>
  </si>
  <si>
    <t xml:space="preserve">4.48%</t>
  </si>
  <si>
    <t xml:space="preserve">Escalabilidade</t>
  </si>
  <si>
    <t xml:space="preserve">8.79%</t>
  </si>
  <si>
    <t xml:space="preserve">Análise do Cross-run Path Relinking — Impacto no Z_best final</t>
  </si>
  <si>
    <t xml:space="preserve">Z_best (workers)</t>
  </si>
  <si>
    <t xml:space="preserve">Z_best (pós-PR)</t>
  </si>
  <si>
    <t xml:space="preserve">PR melhorou?</t>
  </si>
  <si>
    <t xml:space="preserve">ΔZ</t>
  </si>
  <si>
    <t xml:space="preserve">ΔZ (%)</t>
  </si>
  <si>
    <t xml:space="preserve">Não</t>
  </si>
  <si>
    <t xml:space="preserve">Total PR melhorias</t>
  </si>
  <si>
    <t xml:space="preserve">0/50 instâncias</t>
  </si>
  <si>
    <t xml:space="preserve">PSP — Metodologia e Configuração Computacional</t>
  </si>
  <si>
    <t xml:space="preserve">1. Problema (PSP)</t>
  </si>
  <si>
    <t xml:space="preserve">Minimizar Z = ΣF[i,t] + 0.001·E[i,t] sujeito a restrições de balanço cumulativo por produto e período.</t>
  </si>
  <si>
    <t xml:space="preserve">J processos (≈160), I produtos (50), T períodos por instância.</t>
  </si>
  <si>
    <t xml:space="preserve">2. GRASP+ILS v2.0 — Estratégias Implementadas</t>
  </si>
  <si>
    <t xml:space="preserve">Estratégia 2 — Reactive GRASP: α adaptativo (α ∈ {0.0, 0.05, …, 0.30}), pesos atualizados via EMA (decay=0.15).</t>
  </si>
  <si>
    <t xml:space="preserve">Estratégia 3 — Cross-run Path Relinking: após todos os workers, PR cooperativo nas top-5 soluções (budget=300s).</t>
  </si>
  <si>
    <t xml:space="preserve">Estratégia 4 — VND + Or-opt: N0=TS, N1-N3=Or-opt k=1,2,3 (reinserção de blocos).</t>
  </si>
  <si>
    <t xml:space="preserve">Estratégia 5 — Perturbação adaptativa: T≤40→double-bridge, T≤70→triple-bridge, T&gt;70→quadruple-bridge.</t>
  </si>
  <si>
    <t xml:space="preserve">Estratégia 6 — Sliding Window TS: janela W=22, step=14, ativa para T&gt;40, reduz O(T) → O(W) por iteração.</t>
  </si>
  <si>
    <t xml:space="preserve">3. Configuração dos Experimentos</t>
  </si>
  <si>
    <t xml:space="preserve">v2.0: 10 runs × 3600s (60 min) por instância, workers paralelos (1 por run).</t>
  </si>
  <si>
    <t xml:space="preserve">v1.0: 10 runs × 1800s (30 min) por instância.</t>
  </si>
  <si>
    <t xml:space="preserve">MIP bounds: CPLEX 22.1, time limit 3600s, gap padrão CPLEX.</t>
  </si>
  <si>
    <t xml:space="preserve">4. Legenda de Cores (Gap_best)</t>
  </si>
  <si>
    <t xml:space="preserve">Verde (C6EFCE): Gap &lt; 1% — Excelente</t>
  </si>
  <si>
    <t xml:space="preserve">Amarelo (FFEB9C): 1% ≤ Gap &lt; 5% — Bom</t>
  </si>
  <si>
    <t xml:space="preserve">Laranja (FFCC99): 5% ≤ Gap &lt; 20% — Moderado</t>
  </si>
  <si>
    <t xml:space="preserve">Vermelho (FFC7CE): Gap ≥ 20% — Escalabilidade limitada</t>
  </si>
  <si>
    <t xml:space="preserve">5. Observações</t>
  </si>
  <si>
    <t xml:space="preserve">Instâncias sem MIP bound (IncT2X_2, IncT3x_7/8/9): CPLEX não retornou bound no tempo limite.</t>
  </si>
  <si>
    <t xml:space="preserve">Instâncias 3X-5X: escalabilidade ainda limitada pelo crescimento T — candidatas a decomposição.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</si>
</sst>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0.0000"/>
    <numFmt numFmtId="167" formatCode="#,##0.0"/>
    <numFmt numFmtId="168" formatCode="0.00"/>
    <numFmt numFmtId="169" formatCode="0.00\×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4B4B4B"/>
        <bgColor rgb="FF2E4057"/>
      </patternFill>
    </fill>
    <fill>
      <patternFill patternType="solid">
        <fgColor rgb="FF375623"/>
        <bgColor rgb="FF4B4B4B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1F4E79"/>
        <bgColor rgb="FF2E4057"/>
      </patternFill>
    </fill>
    <fill>
      <patternFill patternType="solid">
        <fgColor rgb="FFF5F5F5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FFFF"/>
        <bgColor rgb="FFF5F5F5"/>
      </patternFill>
    </fill>
    <fill>
      <patternFill patternType="solid">
        <fgColor rgb="FFFFEB9C"/>
        <bgColor rgb="FFFFCC99"/>
      </patternFill>
    </fill>
    <fill>
      <patternFill patternType="solid">
        <fgColor rgb="FF2E75B6"/>
        <bgColor rgb="FF2E86AB"/>
      </patternFill>
    </fill>
    <fill>
      <patternFill patternType="solid">
        <fgColor rgb="FFFFCC99"/>
        <bgColor rgb="FFFFC7CE"/>
      </patternFill>
    </fill>
    <fill>
      <patternFill patternType="solid">
        <fgColor rgb="FF2E86AB"/>
        <bgColor rgb="FF2E75B6"/>
      </patternFill>
    </fill>
    <fill>
      <patternFill patternType="solid">
        <fgColor rgb="FFFFC7CE"/>
        <bgColor rgb="FFFFCC99"/>
      </patternFill>
    </fill>
    <fill>
      <patternFill patternType="solid">
        <fgColor rgb="FF5B9BD5"/>
        <bgColor rgb="FF2E86AB"/>
      </patternFill>
    </fill>
    <fill>
      <patternFill patternType="solid">
        <fgColor rgb="FF9DC3E6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2E4057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1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5B9BD5"/>
      <rgbColor rgb="FF7030A0"/>
      <rgbColor rgb="FFF5F5F5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4B4B4B"/>
      <rgbColor rgb="FF969696"/>
      <rgbColor rgb="FF1F3864"/>
      <rgbColor rgb="FF2E86AB"/>
      <rgbColor rgb="FF003300"/>
      <rgbColor rgb="FF375623"/>
      <rgbColor rgb="FF993300"/>
      <rgbColor rgb="FF993366"/>
      <rgbColor rgb="FF1F4E7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1"/>
    <col collapsed="false" customWidth="true" hidden="false" outlineLevel="0" max="18" min="18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1</v>
      </c>
      <c r="B2" s="2"/>
      <c r="C2" s="3" t="s">
        <v>2</v>
      </c>
      <c r="D2" s="3"/>
      <c r="E2" s="3"/>
      <c r="F2" s="4" t="s">
        <v>3</v>
      </c>
      <c r="G2" s="4"/>
      <c r="H2" s="4"/>
      <c r="I2" s="2" t="s">
        <v>4</v>
      </c>
      <c r="J2" s="2"/>
      <c r="K2" s="5" t="s">
        <v>5</v>
      </c>
      <c r="L2" s="5"/>
      <c r="M2" s="5"/>
      <c r="N2" s="5"/>
      <c r="O2" s="6" t="s">
        <v>6</v>
      </c>
      <c r="P2" s="6"/>
      <c r="Q2" s="6"/>
      <c r="R2" s="6"/>
    </row>
    <row r="3" customFormat="false" ht="30" hidden="false" customHeight="true" outlineLevel="0" collapsed="false">
      <c r="A3" s="7" t="s">
        <v>7</v>
      </c>
      <c r="B3" s="7" t="s">
        <v>1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9" t="s">
        <v>8</v>
      </c>
      <c r="I3" s="9" t="s">
        <v>10</v>
      </c>
      <c r="J3" s="9" t="s">
        <v>12</v>
      </c>
      <c r="K3" s="7" t="s">
        <v>13</v>
      </c>
      <c r="L3" s="7" t="s">
        <v>10</v>
      </c>
      <c r="M3" s="10" t="s">
        <v>14</v>
      </c>
      <c r="N3" s="10" t="s">
        <v>15</v>
      </c>
      <c r="O3" s="10" t="s">
        <v>16</v>
      </c>
      <c r="P3" s="10" t="s">
        <v>17</v>
      </c>
      <c r="Q3" s="11" t="s">
        <v>18</v>
      </c>
      <c r="R3" s="11" t="s">
        <v>19</v>
      </c>
    </row>
    <row r="4" customFormat="false" ht="15" hidden="false" customHeight="false" outlineLevel="0" collapsed="false">
      <c r="A4" s="12" t="s">
        <v>20</v>
      </c>
      <c r="B4" s="13" t="s">
        <v>21</v>
      </c>
      <c r="C4" s="14" t="n">
        <v>86308.908</v>
      </c>
      <c r="D4" s="14" t="n">
        <v>88602.8517</v>
      </c>
      <c r="E4" s="15" t="n">
        <v>0.0513</v>
      </c>
      <c r="F4" s="16" t="n">
        <v>2.7105</v>
      </c>
      <c r="G4" s="17" t="n">
        <v>1127.6</v>
      </c>
      <c r="H4" s="14" t="n">
        <v>100569.996</v>
      </c>
      <c r="I4" s="16" t="n">
        <v>16.583</v>
      </c>
      <c r="J4" s="17" t="n">
        <v>6308.8</v>
      </c>
      <c r="K4" s="14" t="n">
        <v>86264.683</v>
      </c>
      <c r="L4" s="15" t="n">
        <v>0.0513</v>
      </c>
      <c r="M4" s="14" t="n">
        <v>14261.088</v>
      </c>
      <c r="N4" s="16" t="n">
        <v>16.5317</v>
      </c>
      <c r="O4" s="18" t="n">
        <v>14.1802610790598</v>
      </c>
      <c r="P4" s="19" t="n">
        <v>0.178734466142531</v>
      </c>
      <c r="Q4" s="14" t="n">
        <v>1801.671893</v>
      </c>
      <c r="R4" s="14" t="n">
        <v>91044.287</v>
      </c>
    </row>
    <row r="5" customFormat="false" ht="15" hidden="false" customHeight="false" outlineLevel="0" collapsed="false">
      <c r="A5" s="12" t="s">
        <v>20</v>
      </c>
      <c r="B5" s="20" t="s">
        <v>22</v>
      </c>
      <c r="C5" s="21" t="n">
        <v>5658.468</v>
      </c>
      <c r="D5" s="21" t="n">
        <v>6411.3444</v>
      </c>
      <c r="E5" s="15" t="n">
        <v>0.3351</v>
      </c>
      <c r="F5" s="22" t="n">
        <v>13.685</v>
      </c>
      <c r="G5" s="23" t="n">
        <v>2218</v>
      </c>
      <c r="H5" s="21" t="n">
        <v>7142.758</v>
      </c>
      <c r="I5" s="22" t="n">
        <v>26.6543</v>
      </c>
      <c r="J5" s="23" t="n">
        <v>6003.8</v>
      </c>
      <c r="K5" s="21" t="n">
        <v>5639.568</v>
      </c>
      <c r="L5" s="15" t="n">
        <v>0.3351</v>
      </c>
      <c r="M5" s="21" t="n">
        <v>1484.29</v>
      </c>
      <c r="N5" s="22" t="n">
        <v>26.3192</v>
      </c>
      <c r="O5" s="24" t="n">
        <v>20.7803484312362</v>
      </c>
      <c r="P5" s="25" t="n">
        <v>0.369432692628002</v>
      </c>
      <c r="Q5" s="21" t="n">
        <v>257.809995</v>
      </c>
      <c r="R5" s="21" t="n">
        <v>6909.415</v>
      </c>
    </row>
    <row r="6" customFormat="false" ht="15" hidden="false" customHeight="false" outlineLevel="0" collapsed="false">
      <c r="A6" s="12" t="s">
        <v>20</v>
      </c>
      <c r="B6" s="13" t="s">
        <v>23</v>
      </c>
      <c r="C6" s="14" t="n">
        <v>99968.134</v>
      </c>
      <c r="D6" s="14" t="n">
        <v>101112.4841</v>
      </c>
      <c r="E6" s="15" t="n">
        <v>0.0174</v>
      </c>
      <c r="F6" s="16" t="n">
        <v>1.1623</v>
      </c>
      <c r="G6" s="17" t="n">
        <v>2588.1</v>
      </c>
      <c r="H6" s="14" t="n">
        <v>105702.766</v>
      </c>
      <c r="I6" s="16" t="n">
        <v>5.7549</v>
      </c>
      <c r="J6" s="17" t="n">
        <v>10624.7</v>
      </c>
      <c r="K6" s="14" t="n">
        <v>99950.709</v>
      </c>
      <c r="L6" s="15" t="n">
        <v>0.0174</v>
      </c>
      <c r="M6" s="14" t="n">
        <v>5734.632</v>
      </c>
      <c r="N6" s="16" t="n">
        <v>5.7375</v>
      </c>
      <c r="O6" s="18" t="n">
        <v>5.42524308209683</v>
      </c>
      <c r="P6" s="19" t="n">
        <v>0.243592760266172</v>
      </c>
      <c r="Q6" s="14" t="n">
        <v>651.174206</v>
      </c>
      <c r="R6" s="14" t="n">
        <v>101993.548</v>
      </c>
    </row>
    <row r="7" customFormat="false" ht="15" hidden="false" customHeight="false" outlineLevel="0" collapsed="false">
      <c r="A7" s="12" t="s">
        <v>20</v>
      </c>
      <c r="B7" s="20" t="s">
        <v>24</v>
      </c>
      <c r="C7" s="21" t="n">
        <v>40735.321</v>
      </c>
      <c r="D7" s="21" t="n">
        <v>42439.5637</v>
      </c>
      <c r="E7" s="26" t="n">
        <v>2.6203</v>
      </c>
      <c r="F7" s="22" t="n">
        <v>6.9137</v>
      </c>
      <c r="G7" s="23" t="n">
        <v>2540</v>
      </c>
      <c r="H7" s="21" t="n">
        <v>44119.473</v>
      </c>
      <c r="I7" s="22" t="n">
        <v>11.1457</v>
      </c>
      <c r="J7" s="23" t="n">
        <v>10796.8</v>
      </c>
      <c r="K7" s="21" t="n">
        <v>39695.173</v>
      </c>
      <c r="L7" s="26" t="n">
        <v>2.6203</v>
      </c>
      <c r="M7" s="21" t="n">
        <v>3384.152</v>
      </c>
      <c r="N7" s="22" t="n">
        <v>8.5254</v>
      </c>
      <c r="O7" s="27" t="n">
        <v>7.67042706969776</v>
      </c>
      <c r="P7" s="25" t="n">
        <v>0.235254890337878</v>
      </c>
      <c r="Q7" s="21" t="n">
        <v>1200.418541</v>
      </c>
      <c r="R7" s="21" t="n">
        <v>44535.798</v>
      </c>
    </row>
    <row r="8" customFormat="false" ht="15" hidden="false" customHeight="false" outlineLevel="0" collapsed="false">
      <c r="A8" s="12" t="s">
        <v>20</v>
      </c>
      <c r="B8" s="13" t="s">
        <v>25</v>
      </c>
      <c r="C8" s="14" t="n">
        <v>127777.551</v>
      </c>
      <c r="D8" s="14" t="n">
        <v>129024.2697</v>
      </c>
      <c r="E8" s="15" t="n">
        <v>0.0404</v>
      </c>
      <c r="F8" s="16" t="n">
        <v>1.0165</v>
      </c>
      <c r="G8" s="17" t="n">
        <v>2264.9</v>
      </c>
      <c r="H8" s="14" t="n">
        <v>128457.26</v>
      </c>
      <c r="I8" s="16" t="n">
        <v>0.5725</v>
      </c>
      <c r="J8" s="17" t="n">
        <v>6236.6</v>
      </c>
      <c r="K8" s="14" t="n">
        <v>127725.976</v>
      </c>
      <c r="L8" s="15" t="n">
        <v>0.0404</v>
      </c>
      <c r="M8" s="14" t="n">
        <v>679.708999999988</v>
      </c>
      <c r="N8" s="16" t="n">
        <v>0.5321</v>
      </c>
      <c r="O8" s="18" t="n">
        <v>0.52913241338013</v>
      </c>
      <c r="P8" s="19" t="n">
        <v>0.363162620658692</v>
      </c>
      <c r="Q8" s="14" t="n">
        <v>1157.278948</v>
      </c>
      <c r="R8" s="14" t="n">
        <v>131118.561</v>
      </c>
    </row>
    <row r="9" customFormat="false" ht="15" hidden="false" customHeight="false" outlineLevel="0" collapsed="false">
      <c r="A9" s="12" t="s">
        <v>20</v>
      </c>
      <c r="B9" s="20" t="s">
        <v>26</v>
      </c>
      <c r="C9" s="21" t="n">
        <v>35426.141</v>
      </c>
      <c r="D9" s="21" t="n">
        <v>35454.8027</v>
      </c>
      <c r="E9" s="15" t="n">
        <v>0</v>
      </c>
      <c r="F9" s="22" t="n">
        <v>0.0809</v>
      </c>
      <c r="G9" s="23" t="n">
        <v>2149</v>
      </c>
      <c r="H9" s="21" t="n">
        <v>48181.896</v>
      </c>
      <c r="I9" s="22" t="n">
        <v>36.0066</v>
      </c>
      <c r="J9" s="23" t="n">
        <v>6011.3</v>
      </c>
      <c r="K9" s="21" t="n">
        <v>35426.141</v>
      </c>
      <c r="L9" s="15" t="n">
        <v>0</v>
      </c>
      <c r="M9" s="21" t="n">
        <v>12755.755</v>
      </c>
      <c r="N9" s="22" t="n">
        <v>36.0066</v>
      </c>
      <c r="O9" s="24" t="n">
        <v>26.4741657322908</v>
      </c>
      <c r="P9" s="25" t="n">
        <v>0.357493387453629</v>
      </c>
      <c r="Q9" s="21" t="n">
        <v>78.748256</v>
      </c>
      <c r="R9" s="21" t="n">
        <v>35690.183</v>
      </c>
    </row>
    <row r="10" customFormat="false" ht="15" hidden="false" customHeight="false" outlineLevel="0" collapsed="false">
      <c r="A10" s="12" t="s">
        <v>20</v>
      </c>
      <c r="B10" s="13" t="s">
        <v>27</v>
      </c>
      <c r="C10" s="14" t="n">
        <v>67131.923</v>
      </c>
      <c r="D10" s="14" t="n">
        <v>68627.077</v>
      </c>
      <c r="E10" s="15" t="n">
        <v>0.6816</v>
      </c>
      <c r="F10" s="16" t="n">
        <v>2.924</v>
      </c>
      <c r="G10" s="17" t="n">
        <v>2066.5</v>
      </c>
      <c r="H10" s="14" t="n">
        <v>69353.482</v>
      </c>
      <c r="I10" s="16" t="n">
        <v>4.0134</v>
      </c>
      <c r="J10" s="17" t="n">
        <v>5704.6</v>
      </c>
      <c r="K10" s="14" t="n">
        <v>66677.463</v>
      </c>
      <c r="L10" s="15" t="n">
        <v>0.6816</v>
      </c>
      <c r="M10" s="14" t="n">
        <v>2221.55900000001</v>
      </c>
      <c r="N10" s="16" t="n">
        <v>3.3318</v>
      </c>
      <c r="O10" s="18" t="n">
        <v>3.20324075437194</v>
      </c>
      <c r="P10" s="19" t="n">
        <v>0.362251516320163</v>
      </c>
      <c r="Q10" s="14" t="n">
        <v>768.857047</v>
      </c>
      <c r="R10" s="14" t="n">
        <v>69587.024</v>
      </c>
    </row>
    <row r="11" customFormat="false" ht="15" hidden="false" customHeight="false" outlineLevel="0" collapsed="false">
      <c r="A11" s="12" t="s">
        <v>20</v>
      </c>
      <c r="B11" s="20" t="s">
        <v>28</v>
      </c>
      <c r="C11" s="21" t="n">
        <v>10578.918</v>
      </c>
      <c r="D11" s="21" t="n">
        <v>10578.918</v>
      </c>
      <c r="E11" s="15" t="n">
        <v>0.0975</v>
      </c>
      <c r="F11" s="22" t="n">
        <v>0.0975</v>
      </c>
      <c r="G11" s="23" t="n">
        <v>2092.4</v>
      </c>
      <c r="H11" s="21" t="n">
        <v>17718.183</v>
      </c>
      <c r="I11" s="22" t="n">
        <v>67.649</v>
      </c>
      <c r="J11" s="23" t="n">
        <v>5831.6</v>
      </c>
      <c r="K11" s="21" t="n">
        <v>10568.618</v>
      </c>
      <c r="L11" s="15" t="n">
        <v>0.0975</v>
      </c>
      <c r="M11" s="21" t="n">
        <v>7139.265</v>
      </c>
      <c r="N11" s="22" t="n">
        <v>67.5515</v>
      </c>
      <c r="O11" s="24" t="n">
        <v>40.2934375381494</v>
      </c>
      <c r="P11" s="25" t="n">
        <v>0.358803758831196</v>
      </c>
      <c r="Q11" s="21" t="n">
        <v>0</v>
      </c>
      <c r="R11" s="21" t="n">
        <v>10578.918</v>
      </c>
    </row>
    <row r="12" customFormat="false" ht="15" hidden="false" customHeight="false" outlineLevel="0" collapsed="false">
      <c r="A12" s="12" t="s">
        <v>20</v>
      </c>
      <c r="B12" s="13" t="s">
        <v>29</v>
      </c>
      <c r="C12" s="14" t="n">
        <v>161396.634</v>
      </c>
      <c r="D12" s="14" t="n">
        <v>162800.02</v>
      </c>
      <c r="E12" s="15" t="n">
        <v>0.3012</v>
      </c>
      <c r="F12" s="16" t="n">
        <v>1.1734</v>
      </c>
      <c r="G12" s="17" t="n">
        <v>2349.9</v>
      </c>
      <c r="H12" s="14" t="n">
        <v>164214.724</v>
      </c>
      <c r="I12" s="16" t="n">
        <v>2.0525</v>
      </c>
      <c r="J12" s="17" t="n">
        <v>6068.1</v>
      </c>
      <c r="K12" s="14" t="n">
        <v>160911.938</v>
      </c>
      <c r="L12" s="15" t="n">
        <v>0.3012</v>
      </c>
      <c r="M12" s="14" t="n">
        <v>2818.09</v>
      </c>
      <c r="N12" s="16" t="n">
        <v>1.7513</v>
      </c>
      <c r="O12" s="18" t="n">
        <v>1.71610068290831</v>
      </c>
      <c r="P12" s="19" t="n">
        <v>0.387254659613388</v>
      </c>
      <c r="Q12" s="14" t="n">
        <v>905.397483</v>
      </c>
      <c r="R12" s="14" t="n">
        <v>164488.865</v>
      </c>
    </row>
    <row r="13" customFormat="false" ht="15" hidden="false" customHeight="false" outlineLevel="0" collapsed="false">
      <c r="A13" s="12" t="s">
        <v>20</v>
      </c>
      <c r="B13" s="20" t="s">
        <v>30</v>
      </c>
      <c r="C13" s="21" t="n">
        <v>15786.292</v>
      </c>
      <c r="D13" s="21" t="n">
        <v>16028.8549</v>
      </c>
      <c r="E13" s="26" t="n">
        <v>1.0134</v>
      </c>
      <c r="F13" s="22" t="n">
        <v>2.5655</v>
      </c>
      <c r="G13" s="23" t="n">
        <v>2151.4</v>
      </c>
      <c r="H13" s="21" t="n">
        <v>16732.347</v>
      </c>
      <c r="I13" s="22" t="n">
        <v>7.067</v>
      </c>
      <c r="J13" s="23" t="n">
        <v>5894.9</v>
      </c>
      <c r="K13" s="21" t="n">
        <v>15627.917</v>
      </c>
      <c r="L13" s="26" t="n">
        <v>1.0134</v>
      </c>
      <c r="M13" s="21" t="n">
        <v>946.055000000002</v>
      </c>
      <c r="N13" s="22" t="n">
        <v>6.0536</v>
      </c>
      <c r="O13" s="27" t="n">
        <v>5.65404841293336</v>
      </c>
      <c r="P13" s="25" t="n">
        <v>0.364959541298411</v>
      </c>
      <c r="Q13" s="21" t="n">
        <v>148.789232</v>
      </c>
      <c r="R13" s="21" t="n">
        <v>16388.529</v>
      </c>
    </row>
    <row r="14" customFormat="false" ht="15" hidden="false" customHeight="false" outlineLevel="0" collapsed="false">
      <c r="A14" s="28" t="s">
        <v>31</v>
      </c>
      <c r="B14" s="13" t="s">
        <v>32</v>
      </c>
      <c r="C14" s="14" t="n">
        <v>42131.48</v>
      </c>
      <c r="D14" s="14" t="n">
        <v>43834.2662</v>
      </c>
      <c r="E14" s="26" t="n">
        <v>4.858</v>
      </c>
      <c r="F14" s="16" t="n">
        <v>9.096</v>
      </c>
      <c r="G14" s="17" t="n">
        <v>296.5</v>
      </c>
      <c r="H14" s="14" t="n">
        <v>42947.365</v>
      </c>
      <c r="I14" s="16" t="n">
        <v>6.8886</v>
      </c>
      <c r="J14" s="17" t="n">
        <v>1638.3</v>
      </c>
      <c r="K14" s="14" t="n">
        <v>40179.544</v>
      </c>
      <c r="L14" s="26" t="n">
        <v>4.858</v>
      </c>
      <c r="M14" s="14" t="n">
        <v>815.884999999995</v>
      </c>
      <c r="N14" s="16" t="n">
        <v>2.0306</v>
      </c>
      <c r="O14" s="18" t="n">
        <v>1.89973238171887</v>
      </c>
      <c r="P14" s="19" t="n">
        <v>0.180980284441189</v>
      </c>
      <c r="Q14" s="14" t="n">
        <v>964.460663</v>
      </c>
      <c r="R14" s="14" t="n">
        <v>45425.166</v>
      </c>
    </row>
    <row r="15" customFormat="false" ht="15" hidden="false" customHeight="false" outlineLevel="0" collapsed="false">
      <c r="A15" s="28" t="s">
        <v>31</v>
      </c>
      <c r="B15" s="20" t="s">
        <v>33</v>
      </c>
      <c r="C15" s="21" t="n">
        <v>8845.78</v>
      </c>
      <c r="D15" s="21" t="n">
        <v>10203.8462</v>
      </c>
      <c r="E15" s="29" t="n">
        <v>6.1252</v>
      </c>
      <c r="F15" s="22" t="n">
        <v>22.4183</v>
      </c>
      <c r="G15" s="23" t="n">
        <v>297.4</v>
      </c>
      <c r="H15" s="21" t="n">
        <v>12488.328</v>
      </c>
      <c r="I15" s="22" t="n">
        <v>49.8258</v>
      </c>
      <c r="J15" s="23" t="n">
        <v>1488.8</v>
      </c>
      <c r="K15" s="21" t="n">
        <v>8335.23</v>
      </c>
      <c r="L15" s="29" t="n">
        <v>6.1252</v>
      </c>
      <c r="M15" s="21" t="n">
        <v>3642.548</v>
      </c>
      <c r="N15" s="22" t="n">
        <v>43.7006</v>
      </c>
      <c r="O15" s="24" t="n">
        <v>29.167619556437</v>
      </c>
      <c r="P15" s="25" t="n">
        <v>0.199758194519076</v>
      </c>
      <c r="Q15" s="21" t="n">
        <v>658.038806</v>
      </c>
      <c r="R15" s="21" t="n">
        <v>11240.278</v>
      </c>
    </row>
    <row r="16" customFormat="false" ht="15" hidden="false" customHeight="false" outlineLevel="0" collapsed="false">
      <c r="A16" s="28" t="s">
        <v>31</v>
      </c>
      <c r="B16" s="13" t="s">
        <v>34</v>
      </c>
      <c r="C16" s="14" t="n">
        <v>106455.967</v>
      </c>
      <c r="D16" s="14" t="n">
        <v>109959.4436</v>
      </c>
      <c r="E16" s="16"/>
      <c r="F16" s="16"/>
      <c r="G16" s="17" t="n">
        <v>363.7</v>
      </c>
      <c r="H16" s="14" t="n">
        <v>129019.883</v>
      </c>
      <c r="I16" s="16"/>
      <c r="J16" s="17" t="n">
        <v>1628.2</v>
      </c>
      <c r="K16" s="14"/>
      <c r="L16" s="16"/>
      <c r="M16" s="14" t="n">
        <v>22563.916</v>
      </c>
      <c r="N16" s="16"/>
      <c r="O16" s="18" t="n">
        <v>17.4887121855474</v>
      </c>
      <c r="P16" s="19" t="n">
        <v>0.223375506694509</v>
      </c>
      <c r="Q16" s="14" t="n">
        <v>2301.028844</v>
      </c>
      <c r="R16" s="14" t="n">
        <v>113791.744</v>
      </c>
    </row>
    <row r="17" customFormat="false" ht="15" hidden="false" customHeight="false" outlineLevel="0" collapsed="false">
      <c r="A17" s="28" t="s">
        <v>31</v>
      </c>
      <c r="B17" s="20" t="s">
        <v>35</v>
      </c>
      <c r="C17" s="21" t="n">
        <v>44988.661</v>
      </c>
      <c r="D17" s="21" t="n">
        <v>48130.8203</v>
      </c>
      <c r="E17" s="26" t="n">
        <v>4.7745</v>
      </c>
      <c r="F17" s="22" t="n">
        <v>12.0923</v>
      </c>
      <c r="G17" s="23" t="n">
        <v>334.6</v>
      </c>
      <c r="H17" s="21" t="n">
        <v>57043.268</v>
      </c>
      <c r="I17" s="22" t="n">
        <v>32.8486</v>
      </c>
      <c r="J17" s="23" t="n">
        <v>1587.4</v>
      </c>
      <c r="K17" s="21" t="n">
        <v>42938.57</v>
      </c>
      <c r="L17" s="26" t="n">
        <v>4.7745</v>
      </c>
      <c r="M17" s="21" t="n">
        <v>12054.607</v>
      </c>
      <c r="N17" s="22" t="n">
        <v>28.0741</v>
      </c>
      <c r="O17" s="24" t="n">
        <v>21.1323919940912</v>
      </c>
      <c r="P17" s="25" t="n">
        <v>0.210784931334257</v>
      </c>
      <c r="Q17" s="21" t="n">
        <v>1429.19241</v>
      </c>
      <c r="R17" s="21" t="n">
        <v>49796.458</v>
      </c>
    </row>
    <row r="18" customFormat="false" ht="15" hidden="false" customHeight="false" outlineLevel="0" collapsed="false">
      <c r="A18" s="28" t="s">
        <v>31</v>
      </c>
      <c r="B18" s="13" t="s">
        <v>36</v>
      </c>
      <c r="C18" s="14" t="n">
        <v>132911.883</v>
      </c>
      <c r="D18" s="14" t="n">
        <v>135572.9463</v>
      </c>
      <c r="E18" s="26" t="n">
        <v>1.0191</v>
      </c>
      <c r="F18" s="16" t="n">
        <v>3.0416</v>
      </c>
      <c r="G18" s="17" t="n">
        <v>332.7</v>
      </c>
      <c r="H18" s="14" t="n">
        <v>149599.913</v>
      </c>
      <c r="I18" s="16" t="n">
        <v>13.7028</v>
      </c>
      <c r="J18" s="17" t="n">
        <v>1705.4</v>
      </c>
      <c r="K18" s="14" t="n">
        <v>131571</v>
      </c>
      <c r="L18" s="26" t="n">
        <v>1.0191</v>
      </c>
      <c r="M18" s="14" t="n">
        <v>16688.03</v>
      </c>
      <c r="N18" s="16" t="n">
        <v>12.6837</v>
      </c>
      <c r="O18" s="18" t="n">
        <v>11.155106754641</v>
      </c>
      <c r="P18" s="19" t="n">
        <v>0.195086196786678</v>
      </c>
      <c r="Q18" s="14" t="n">
        <v>2165.675127</v>
      </c>
      <c r="R18" s="14" t="n">
        <v>140517.153</v>
      </c>
    </row>
    <row r="19" customFormat="false" ht="15" hidden="false" customHeight="false" outlineLevel="0" collapsed="false">
      <c r="A19" s="28" t="s">
        <v>31</v>
      </c>
      <c r="B19" s="20" t="s">
        <v>37</v>
      </c>
      <c r="C19" s="21" t="n">
        <v>38391.069</v>
      </c>
      <c r="D19" s="21" t="n">
        <v>41638.9287</v>
      </c>
      <c r="E19" s="15" t="n">
        <v>0.5423</v>
      </c>
      <c r="F19" s="22" t="n">
        <v>9.0481</v>
      </c>
      <c r="G19" s="23" t="n">
        <v>281.2</v>
      </c>
      <c r="H19" s="21" t="n">
        <v>55518.02</v>
      </c>
      <c r="I19" s="22" t="n">
        <v>45.3961</v>
      </c>
      <c r="J19" s="23" t="n">
        <v>1650.6</v>
      </c>
      <c r="K19" s="21" t="n">
        <v>38183.994</v>
      </c>
      <c r="L19" s="15" t="n">
        <v>0.5423</v>
      </c>
      <c r="M19" s="21" t="n">
        <v>17126.951</v>
      </c>
      <c r="N19" s="22" t="n">
        <v>44.8538</v>
      </c>
      <c r="O19" s="24" t="n">
        <v>30.8493548581163</v>
      </c>
      <c r="P19" s="25" t="n">
        <v>0.170362292499697</v>
      </c>
      <c r="Q19" s="21" t="n">
        <v>3838.674161</v>
      </c>
      <c r="R19" s="21" t="n">
        <v>51260.256</v>
      </c>
    </row>
    <row r="20" customFormat="false" ht="15" hidden="false" customHeight="false" outlineLevel="0" collapsed="false">
      <c r="A20" s="28" t="s">
        <v>31</v>
      </c>
      <c r="B20" s="13" t="s">
        <v>38</v>
      </c>
      <c r="C20" s="14" t="n">
        <v>71354.141</v>
      </c>
      <c r="D20" s="14" t="n">
        <v>74496.7347</v>
      </c>
      <c r="E20" s="26" t="n">
        <v>1.4487</v>
      </c>
      <c r="F20" s="16" t="n">
        <v>5.9168</v>
      </c>
      <c r="G20" s="17" t="n">
        <v>299.5</v>
      </c>
      <c r="H20" s="14" t="n">
        <v>89110.389</v>
      </c>
      <c r="I20" s="16" t="n">
        <v>26.6939</v>
      </c>
      <c r="J20" s="17" t="n">
        <v>1611</v>
      </c>
      <c r="K20" s="14" t="n">
        <v>70335.169</v>
      </c>
      <c r="L20" s="26" t="n">
        <v>1.4487</v>
      </c>
      <c r="M20" s="14" t="n">
        <v>17756.248</v>
      </c>
      <c r="N20" s="16" t="n">
        <v>25.2452</v>
      </c>
      <c r="O20" s="18" t="n">
        <v>19.9261255609601</v>
      </c>
      <c r="P20" s="19" t="n">
        <v>0.185909373060211</v>
      </c>
      <c r="Q20" s="14" t="n">
        <v>2212.033956</v>
      </c>
      <c r="R20" s="14" t="n">
        <v>78941.952</v>
      </c>
    </row>
    <row r="21" customFormat="false" ht="15" hidden="false" customHeight="false" outlineLevel="0" collapsed="false">
      <c r="A21" s="28" t="s">
        <v>31</v>
      </c>
      <c r="B21" s="20" t="s">
        <v>39</v>
      </c>
      <c r="C21" s="21" t="n">
        <v>13887.95</v>
      </c>
      <c r="D21" s="21" t="n">
        <v>14744.449</v>
      </c>
      <c r="E21" s="26" t="n">
        <v>2.8212</v>
      </c>
      <c r="F21" s="22" t="n">
        <v>9.1625</v>
      </c>
      <c r="G21" s="23" t="n">
        <v>291.7</v>
      </c>
      <c r="H21" s="21" t="n">
        <v>23541.667</v>
      </c>
      <c r="I21" s="22" t="n">
        <v>74.2938</v>
      </c>
      <c r="J21" s="23" t="n">
        <v>1578.2</v>
      </c>
      <c r="K21" s="21" t="n">
        <v>13506.887</v>
      </c>
      <c r="L21" s="26" t="n">
        <v>2.8212</v>
      </c>
      <c r="M21" s="21" t="n">
        <v>9653.717</v>
      </c>
      <c r="N21" s="22" t="n">
        <v>71.4726</v>
      </c>
      <c r="O21" s="24" t="n">
        <v>41.0069388883973</v>
      </c>
      <c r="P21" s="25" t="n">
        <v>0.18483081992143</v>
      </c>
      <c r="Q21" s="21" t="n">
        <v>837.530667</v>
      </c>
      <c r="R21" s="21" t="n">
        <v>16693.413</v>
      </c>
    </row>
    <row r="22" customFormat="false" ht="15" hidden="false" customHeight="false" outlineLevel="0" collapsed="false">
      <c r="A22" s="28" t="s">
        <v>31</v>
      </c>
      <c r="B22" s="13" t="s">
        <v>40</v>
      </c>
      <c r="C22" s="14" t="n">
        <v>169602.936</v>
      </c>
      <c r="D22" s="14" t="n">
        <v>174903.1128</v>
      </c>
      <c r="E22" s="15" t="n">
        <v>0.3459</v>
      </c>
      <c r="F22" s="16" t="n">
        <v>3.4817</v>
      </c>
      <c r="G22" s="17" t="n">
        <v>338.1</v>
      </c>
      <c r="H22" s="14" t="n">
        <v>189973.51</v>
      </c>
      <c r="I22" s="16" t="n">
        <v>12.3982</v>
      </c>
      <c r="J22" s="17" t="n">
        <v>1668.9</v>
      </c>
      <c r="K22" s="14" t="n">
        <v>169018.311</v>
      </c>
      <c r="L22" s="15" t="n">
        <v>0.3459</v>
      </c>
      <c r="M22" s="14" t="n">
        <v>20370.574</v>
      </c>
      <c r="N22" s="16" t="n">
        <v>12.0523</v>
      </c>
      <c r="O22" s="18" t="n">
        <v>10.7228497278384</v>
      </c>
      <c r="P22" s="19" t="n">
        <v>0.202588531367967</v>
      </c>
      <c r="Q22" s="14" t="n">
        <v>3095.493269</v>
      </c>
      <c r="R22" s="14" t="n">
        <v>179712.419</v>
      </c>
    </row>
    <row r="23" customFormat="false" ht="15" hidden="false" customHeight="false" outlineLevel="0" collapsed="false">
      <c r="A23" s="28" t="s">
        <v>31</v>
      </c>
      <c r="B23" s="20" t="s">
        <v>41</v>
      </c>
      <c r="C23" s="21" t="n">
        <v>19099.846</v>
      </c>
      <c r="D23" s="21" t="n">
        <v>20566.6611</v>
      </c>
      <c r="E23" s="26" t="n">
        <v>2.5104</v>
      </c>
      <c r="F23" s="22" t="n">
        <v>10.3829</v>
      </c>
      <c r="G23" s="23" t="n">
        <v>276.8</v>
      </c>
      <c r="H23" s="21" t="n">
        <v>29395.683</v>
      </c>
      <c r="I23" s="22" t="n">
        <v>57.7689</v>
      </c>
      <c r="J23" s="23" t="n">
        <v>1454.4</v>
      </c>
      <c r="K23" s="21" t="n">
        <v>18632.113</v>
      </c>
      <c r="L23" s="26" t="n">
        <v>2.5104</v>
      </c>
      <c r="M23" s="21" t="n">
        <v>10295.837</v>
      </c>
      <c r="N23" s="22" t="n">
        <v>55.2585</v>
      </c>
      <c r="O23" s="24" t="n">
        <v>35.0249966976443</v>
      </c>
      <c r="P23" s="25" t="n">
        <v>0.19031903190319</v>
      </c>
      <c r="Q23" s="21" t="n">
        <v>692.83757</v>
      </c>
      <c r="R23" s="21" t="n">
        <v>21826.442</v>
      </c>
    </row>
    <row r="24" customFormat="false" ht="15" hidden="false" customHeight="false" outlineLevel="0" collapsed="false">
      <c r="A24" s="30" t="s">
        <v>42</v>
      </c>
      <c r="B24" s="13" t="s">
        <v>43</v>
      </c>
      <c r="C24" s="14" t="n">
        <v>46301.96</v>
      </c>
      <c r="D24" s="14" t="n">
        <v>49102.6273</v>
      </c>
      <c r="E24" s="29" t="n">
        <v>7.7311</v>
      </c>
      <c r="F24" s="16" t="n">
        <v>14.2475</v>
      </c>
      <c r="G24" s="17" t="n">
        <v>20.8</v>
      </c>
      <c r="H24" s="14" t="n">
        <v>87794.096</v>
      </c>
      <c r="I24" s="16" t="n">
        <v>104.2712</v>
      </c>
      <c r="J24" s="17" t="n">
        <v>691.3</v>
      </c>
      <c r="K24" s="14" t="n">
        <v>42979.183</v>
      </c>
      <c r="L24" s="29" t="n">
        <v>7.7311</v>
      </c>
      <c r="M24" s="14" t="n">
        <v>41492.136</v>
      </c>
      <c r="N24" s="16" t="n">
        <v>96.5401</v>
      </c>
      <c r="O24" s="24" t="n">
        <v>47.260736075009</v>
      </c>
      <c r="P24" s="19" t="n">
        <v>0.0300882395486764</v>
      </c>
      <c r="Q24" s="14" t="n">
        <v>2815.80501</v>
      </c>
      <c r="R24" s="14" t="n">
        <v>55525.366</v>
      </c>
    </row>
    <row r="25" customFormat="false" ht="15" hidden="false" customHeight="false" outlineLevel="0" collapsed="false">
      <c r="A25" s="30" t="s">
        <v>42</v>
      </c>
      <c r="B25" s="20" t="s">
        <v>44</v>
      </c>
      <c r="C25" s="21" t="n">
        <v>12905.258</v>
      </c>
      <c r="D25" s="21" t="n">
        <v>15476.1421</v>
      </c>
      <c r="E25" s="31" t="n">
        <v>22.8913</v>
      </c>
      <c r="F25" s="22" t="n">
        <v>47.3727</v>
      </c>
      <c r="G25" s="23" t="n">
        <v>19.3</v>
      </c>
      <c r="H25" s="21" t="n">
        <v>43726.346</v>
      </c>
      <c r="I25" s="22" t="n">
        <v>316.3873</v>
      </c>
      <c r="J25" s="23" t="n">
        <v>832.8</v>
      </c>
      <c r="K25" s="21" t="n">
        <v>10501.363</v>
      </c>
      <c r="L25" s="31" t="n">
        <v>22.8913</v>
      </c>
      <c r="M25" s="21" t="n">
        <v>30821.088</v>
      </c>
      <c r="N25" s="22" t="n">
        <v>293.496</v>
      </c>
      <c r="O25" s="32" t="n">
        <v>70.4863104728669</v>
      </c>
      <c r="P25" s="25" t="n">
        <v>0.0231748318924111</v>
      </c>
      <c r="Q25" s="21" t="n">
        <v>1275.3781</v>
      </c>
      <c r="R25" s="21" t="n">
        <v>17053.671</v>
      </c>
    </row>
    <row r="26" customFormat="false" ht="15" hidden="false" customHeight="false" outlineLevel="0" collapsed="false">
      <c r="A26" s="30" t="s">
        <v>42</v>
      </c>
      <c r="B26" s="13" t="s">
        <v>45</v>
      </c>
      <c r="C26" s="14" t="n">
        <v>112567.555</v>
      </c>
      <c r="D26" s="14" t="n">
        <v>121108.5019</v>
      </c>
      <c r="E26" s="26" t="n">
        <v>3.83</v>
      </c>
      <c r="F26" s="16" t="n">
        <v>11.708</v>
      </c>
      <c r="G26" s="17" t="n">
        <v>20.7</v>
      </c>
      <c r="H26" s="14" t="n">
        <v>170888.982</v>
      </c>
      <c r="I26" s="16" t="n">
        <v>57.6244</v>
      </c>
      <c r="J26" s="17" t="n">
        <v>700.4</v>
      </c>
      <c r="K26" s="14" t="n">
        <v>108415.299</v>
      </c>
      <c r="L26" s="26" t="n">
        <v>3.83</v>
      </c>
      <c r="M26" s="14" t="n">
        <v>58321.427</v>
      </c>
      <c r="N26" s="16" t="n">
        <v>53.7944</v>
      </c>
      <c r="O26" s="24" t="n">
        <v>34.1282546817442</v>
      </c>
      <c r="P26" s="19" t="n">
        <v>0.029554540262707</v>
      </c>
      <c r="Q26" s="14" t="n">
        <v>5234.092355</v>
      </c>
      <c r="R26" s="14" t="n">
        <v>131272.104</v>
      </c>
    </row>
    <row r="27" customFormat="false" ht="15" hidden="false" customHeight="false" outlineLevel="0" collapsed="false">
      <c r="A27" s="30" t="s">
        <v>42</v>
      </c>
      <c r="B27" s="20" t="s">
        <v>46</v>
      </c>
      <c r="C27" s="21" t="n">
        <v>49602.858</v>
      </c>
      <c r="D27" s="21" t="n">
        <v>54222.801</v>
      </c>
      <c r="E27" s="29" t="n">
        <v>8.5649</v>
      </c>
      <c r="F27" s="22" t="n">
        <v>18.6765</v>
      </c>
      <c r="G27" s="23" t="n">
        <v>19.5</v>
      </c>
      <c r="H27" s="21" t="n">
        <v>81940.47</v>
      </c>
      <c r="I27" s="22" t="n">
        <v>79.3417</v>
      </c>
      <c r="J27" s="23" t="n">
        <v>727.4</v>
      </c>
      <c r="K27" s="21" t="n">
        <v>45689.573</v>
      </c>
      <c r="L27" s="29" t="n">
        <v>8.5649</v>
      </c>
      <c r="M27" s="21" t="n">
        <v>32337.612</v>
      </c>
      <c r="N27" s="22" t="n">
        <v>70.7768</v>
      </c>
      <c r="O27" s="24" t="n">
        <v>39.4647626502509</v>
      </c>
      <c r="P27" s="25" t="n">
        <v>0.0268078086334891</v>
      </c>
      <c r="Q27" s="21" t="n">
        <v>2186.30749</v>
      </c>
      <c r="R27" s="21" t="n">
        <v>56966.85</v>
      </c>
    </row>
    <row r="28" customFormat="false" ht="15" hidden="false" customHeight="false" outlineLevel="0" collapsed="false">
      <c r="A28" s="30" t="s">
        <v>42</v>
      </c>
      <c r="B28" s="13" t="s">
        <v>47</v>
      </c>
      <c r="C28" s="14" t="n">
        <v>137497.564</v>
      </c>
      <c r="D28" s="14" t="n">
        <v>141649.3173</v>
      </c>
      <c r="E28" s="26" t="n">
        <v>2.4434</v>
      </c>
      <c r="F28" s="16" t="n">
        <v>5.5367</v>
      </c>
      <c r="G28" s="17" t="n">
        <v>19.7</v>
      </c>
      <c r="H28" s="14" t="n">
        <v>167578.477</v>
      </c>
      <c r="I28" s="16" t="n">
        <v>24.8554</v>
      </c>
      <c r="J28" s="17" t="n">
        <v>761.4</v>
      </c>
      <c r="K28" s="14" t="n">
        <v>134218.018</v>
      </c>
      <c r="L28" s="26" t="n">
        <v>2.4434</v>
      </c>
      <c r="M28" s="14" t="n">
        <v>30080.913</v>
      </c>
      <c r="N28" s="16" t="n">
        <v>22.412</v>
      </c>
      <c r="O28" s="18" t="n">
        <v>17.9503439454221</v>
      </c>
      <c r="P28" s="19" t="n">
        <v>0.0258733911216181</v>
      </c>
      <c r="Q28" s="14" t="n">
        <v>2418.873481</v>
      </c>
      <c r="R28" s="14" t="n">
        <v>145888.077</v>
      </c>
    </row>
    <row r="29" customFormat="false" ht="15" hidden="false" customHeight="false" outlineLevel="0" collapsed="false">
      <c r="A29" s="30" t="s">
        <v>42</v>
      </c>
      <c r="B29" s="20" t="s">
        <v>48</v>
      </c>
      <c r="C29" s="21" t="n">
        <v>49299.99</v>
      </c>
      <c r="D29" s="21" t="n">
        <v>56683.4857</v>
      </c>
      <c r="E29" s="31" t="n">
        <v>21.7182</v>
      </c>
      <c r="F29" s="22" t="n">
        <v>39.9475</v>
      </c>
      <c r="G29" s="23" t="n">
        <v>18</v>
      </c>
      <c r="H29" s="21" t="n">
        <v>74552.219</v>
      </c>
      <c r="I29" s="22" t="n">
        <v>84.0642</v>
      </c>
      <c r="J29" s="23" t="n">
        <v>739.7</v>
      </c>
      <c r="K29" s="21" t="n">
        <v>40503.384</v>
      </c>
      <c r="L29" s="31" t="n">
        <v>21.7182</v>
      </c>
      <c r="M29" s="21" t="n">
        <v>25252.229</v>
      </c>
      <c r="N29" s="22" t="n">
        <v>62.346</v>
      </c>
      <c r="O29" s="24" t="n">
        <v>33.871867717311</v>
      </c>
      <c r="P29" s="25" t="n">
        <v>0.0243341895362985</v>
      </c>
      <c r="Q29" s="21" t="n">
        <v>3405.046432</v>
      </c>
      <c r="R29" s="21" t="n">
        <v>61783.737</v>
      </c>
    </row>
    <row r="30" customFormat="false" ht="15" hidden="false" customHeight="false" outlineLevel="0" collapsed="false">
      <c r="A30" s="30" t="s">
        <v>42</v>
      </c>
      <c r="B30" s="13" t="s">
        <v>49</v>
      </c>
      <c r="C30" s="14" t="n">
        <v>78926.687</v>
      </c>
      <c r="D30" s="14" t="n">
        <v>81561.3245</v>
      </c>
      <c r="E30" s="29" t="n">
        <v>7.9816</v>
      </c>
      <c r="F30" s="16" t="n">
        <v>11.5861</v>
      </c>
      <c r="G30" s="17" t="n">
        <v>17.8</v>
      </c>
      <c r="H30" s="14" t="n">
        <v>101416.575</v>
      </c>
      <c r="I30" s="16" t="n">
        <v>38.7505</v>
      </c>
      <c r="J30" s="17" t="n">
        <v>696.9</v>
      </c>
      <c r="K30" s="14" t="n">
        <v>73092.751</v>
      </c>
      <c r="L30" s="29" t="n">
        <v>7.9816</v>
      </c>
      <c r="M30" s="14" t="n">
        <v>22489.888</v>
      </c>
      <c r="N30" s="16" t="n">
        <v>30.7689</v>
      </c>
      <c r="O30" s="24" t="n">
        <v>22.1757518433254</v>
      </c>
      <c r="P30" s="19" t="n">
        <v>0.0255416846032429</v>
      </c>
      <c r="Q30" s="14" t="n">
        <v>1822.788758</v>
      </c>
      <c r="R30" s="14" t="n">
        <v>85413.351</v>
      </c>
    </row>
    <row r="31" customFormat="false" ht="15" hidden="false" customHeight="false" outlineLevel="0" collapsed="false">
      <c r="A31" s="30" t="s">
        <v>42</v>
      </c>
      <c r="B31" s="20" t="s">
        <v>50</v>
      </c>
      <c r="C31" s="21" t="n">
        <v>20173.408</v>
      </c>
      <c r="D31" s="21" t="n">
        <v>22159.2003</v>
      </c>
      <c r="E31" s="22"/>
      <c r="F31" s="22"/>
      <c r="G31" s="23" t="n">
        <v>18.8</v>
      </c>
      <c r="H31" s="21" t="n">
        <v>47569.304</v>
      </c>
      <c r="I31" s="22"/>
      <c r="J31" s="23" t="n">
        <v>756.7</v>
      </c>
      <c r="K31" s="21"/>
      <c r="L31" s="22"/>
      <c r="M31" s="21" t="n">
        <v>27395.896</v>
      </c>
      <c r="N31" s="22"/>
      <c r="O31" s="32" t="n">
        <v>57.5915426469137</v>
      </c>
      <c r="P31" s="25" t="n">
        <v>0.0248447204968944</v>
      </c>
      <c r="Q31" s="21" t="n">
        <v>927.644237</v>
      </c>
      <c r="R31" s="21" t="n">
        <v>23502.73</v>
      </c>
    </row>
    <row r="32" customFormat="false" ht="15" hidden="false" customHeight="false" outlineLevel="0" collapsed="false">
      <c r="A32" s="30" t="s">
        <v>42</v>
      </c>
      <c r="B32" s="13" t="s">
        <v>51</v>
      </c>
      <c r="C32" s="14" t="n">
        <v>177380.418</v>
      </c>
      <c r="D32" s="14" t="n">
        <v>183909.3642</v>
      </c>
      <c r="E32" s="16"/>
      <c r="F32" s="16"/>
      <c r="G32" s="17" t="n">
        <v>19</v>
      </c>
      <c r="H32" s="14" t="n">
        <v>221192.734</v>
      </c>
      <c r="I32" s="16"/>
      <c r="J32" s="17" t="n">
        <v>878.9</v>
      </c>
      <c r="K32" s="14"/>
      <c r="L32" s="16"/>
      <c r="M32" s="14" t="n">
        <v>43812.316</v>
      </c>
      <c r="N32" s="16"/>
      <c r="O32" s="18" t="n">
        <v>19.8073034352024</v>
      </c>
      <c r="P32" s="19" t="n">
        <v>0.0216179315052907</v>
      </c>
      <c r="Q32" s="14" t="n">
        <v>3445.428611</v>
      </c>
      <c r="R32" s="14" t="n">
        <v>190667.827</v>
      </c>
    </row>
    <row r="33" customFormat="false" ht="15" hidden="false" customHeight="false" outlineLevel="0" collapsed="false">
      <c r="A33" s="30" t="s">
        <v>42</v>
      </c>
      <c r="B33" s="20" t="s">
        <v>52</v>
      </c>
      <c r="C33" s="21" t="n">
        <v>24600.295</v>
      </c>
      <c r="D33" s="21" t="n">
        <v>28399.9462</v>
      </c>
      <c r="E33" s="22"/>
      <c r="F33" s="22"/>
      <c r="G33" s="23" t="n">
        <v>17.2</v>
      </c>
      <c r="H33" s="21" t="n">
        <v>37867.292</v>
      </c>
      <c r="I33" s="22"/>
      <c r="J33" s="23" t="n">
        <v>822.5</v>
      </c>
      <c r="K33" s="21"/>
      <c r="L33" s="22"/>
      <c r="M33" s="21" t="n">
        <v>13266.997</v>
      </c>
      <c r="N33" s="22"/>
      <c r="O33" s="24" t="n">
        <v>35.0355050474695</v>
      </c>
      <c r="P33" s="25" t="n">
        <v>0.0209118541033435</v>
      </c>
      <c r="Q33" s="21" t="n">
        <v>1651.896727</v>
      </c>
      <c r="R33" s="21" t="n">
        <v>31435.975</v>
      </c>
    </row>
    <row r="34" customFormat="false" ht="15" hidden="false" customHeight="false" outlineLevel="0" collapsed="false">
      <c r="A34" s="33" t="s">
        <v>53</v>
      </c>
      <c r="B34" s="13" t="s">
        <v>54</v>
      </c>
      <c r="C34" s="14" t="n">
        <v>53784.224</v>
      </c>
      <c r="D34" s="14" t="n">
        <v>59407.921</v>
      </c>
      <c r="E34" s="29" t="n">
        <v>18.3423</v>
      </c>
      <c r="F34" s="16" t="n">
        <v>30.7162</v>
      </c>
      <c r="G34" s="17" t="n">
        <v>12.6</v>
      </c>
      <c r="H34" s="14" t="n">
        <v>101158.562</v>
      </c>
      <c r="I34" s="16" t="n">
        <v>122.5807</v>
      </c>
      <c r="J34" s="17" t="n">
        <v>487.5</v>
      </c>
      <c r="K34" s="14" t="n">
        <v>45448.029</v>
      </c>
      <c r="L34" s="29" t="n">
        <v>18.3423</v>
      </c>
      <c r="M34" s="14" t="n">
        <v>47374.338</v>
      </c>
      <c r="N34" s="16" t="n">
        <v>104.2384</v>
      </c>
      <c r="O34" s="24" t="n">
        <v>46.831762990067</v>
      </c>
      <c r="P34" s="19" t="n">
        <v>0.0258461538461539</v>
      </c>
      <c r="Q34" s="14" t="n">
        <v>3054.729543</v>
      </c>
      <c r="R34" s="14" t="n">
        <v>64003.094</v>
      </c>
    </row>
    <row r="35" customFormat="false" ht="15" hidden="false" customHeight="false" outlineLevel="0" collapsed="false">
      <c r="A35" s="33" t="s">
        <v>53</v>
      </c>
      <c r="B35" s="20" t="s">
        <v>55</v>
      </c>
      <c r="C35" s="21" t="n">
        <v>19699.562</v>
      </c>
      <c r="D35" s="21" t="n">
        <v>21858.9822</v>
      </c>
      <c r="E35" s="31" t="n">
        <v>57.404</v>
      </c>
      <c r="F35" s="22" t="n">
        <v>74.6583</v>
      </c>
      <c r="G35" s="23" t="n">
        <v>12.4</v>
      </c>
      <c r="H35" s="21" t="n">
        <v>59484.482</v>
      </c>
      <c r="I35" s="22" t="n">
        <v>375.2947</v>
      </c>
      <c r="J35" s="23" t="n">
        <v>484.6</v>
      </c>
      <c r="K35" s="21" t="n">
        <v>12515.284</v>
      </c>
      <c r="L35" s="31" t="n">
        <v>57.404</v>
      </c>
      <c r="M35" s="21" t="n">
        <v>39784.92</v>
      </c>
      <c r="N35" s="22" t="n">
        <v>317.8907</v>
      </c>
      <c r="O35" s="32" t="n">
        <v>66.8828552629911</v>
      </c>
      <c r="P35" s="25" t="n">
        <v>0.025588113908378</v>
      </c>
      <c r="Q35" s="21" t="n">
        <v>1026.20349</v>
      </c>
      <c r="R35" s="21" t="n">
        <v>23221.553</v>
      </c>
    </row>
    <row r="36" customFormat="false" ht="15" hidden="false" customHeight="false" outlineLevel="0" collapsed="false">
      <c r="A36" s="33" t="s">
        <v>53</v>
      </c>
      <c r="B36" s="13" t="s">
        <v>56</v>
      </c>
      <c r="C36" s="14" t="n">
        <v>115947.61</v>
      </c>
      <c r="D36" s="14" t="n">
        <v>128555.397</v>
      </c>
      <c r="E36" s="26" t="n">
        <v>4.8275</v>
      </c>
      <c r="F36" s="16" t="n">
        <v>16.2262</v>
      </c>
      <c r="G36" s="17" t="n">
        <v>12</v>
      </c>
      <c r="H36" s="14" t="n">
        <v>188683.246</v>
      </c>
      <c r="I36" s="16" t="n">
        <v>70.5874</v>
      </c>
      <c r="J36" s="17" t="n">
        <v>503.8</v>
      </c>
      <c r="K36" s="14" t="n">
        <v>110607.976</v>
      </c>
      <c r="L36" s="26" t="n">
        <v>4.8275</v>
      </c>
      <c r="M36" s="14" t="n">
        <v>72735.636</v>
      </c>
      <c r="N36" s="16" t="n">
        <v>65.7599</v>
      </c>
      <c r="O36" s="24" t="n">
        <v>38.549069693236</v>
      </c>
      <c r="P36" s="19" t="n">
        <v>0.0238189757840413</v>
      </c>
      <c r="Q36" s="14" t="n">
        <v>8920.353964</v>
      </c>
      <c r="R36" s="14" t="n">
        <v>148925.922</v>
      </c>
    </row>
    <row r="37" customFormat="false" ht="15" hidden="false" customHeight="false" outlineLevel="0" collapsed="false">
      <c r="A37" s="33" t="s">
        <v>53</v>
      </c>
      <c r="B37" s="20" t="s">
        <v>57</v>
      </c>
      <c r="C37" s="21" t="n">
        <v>58187.639</v>
      </c>
      <c r="D37" s="21" t="n">
        <v>62567.0226</v>
      </c>
      <c r="E37" s="29" t="n">
        <v>19.7694</v>
      </c>
      <c r="F37" s="22" t="n">
        <v>28.7837</v>
      </c>
      <c r="G37" s="23" t="n">
        <v>12.4</v>
      </c>
      <c r="H37" s="21" t="n">
        <v>97144.237</v>
      </c>
      <c r="I37" s="22" t="n">
        <v>99.955</v>
      </c>
      <c r="J37" s="23" t="n">
        <v>483.2</v>
      </c>
      <c r="K37" s="21" t="n">
        <v>48583.051</v>
      </c>
      <c r="L37" s="29" t="n">
        <v>19.7694</v>
      </c>
      <c r="M37" s="21" t="n">
        <v>38956.598</v>
      </c>
      <c r="N37" s="22" t="n">
        <v>80.1856</v>
      </c>
      <c r="O37" s="24" t="n">
        <v>40.1018106714864</v>
      </c>
      <c r="P37" s="25" t="n">
        <v>0.0256622516556291</v>
      </c>
      <c r="Q37" s="21" t="n">
        <v>2443.411863</v>
      </c>
      <c r="R37" s="21" t="n">
        <v>66961.718</v>
      </c>
    </row>
    <row r="38" customFormat="false" ht="15" hidden="false" customHeight="false" outlineLevel="0" collapsed="false">
      <c r="A38" s="33" t="s">
        <v>53</v>
      </c>
      <c r="B38" s="13" t="s">
        <v>58</v>
      </c>
      <c r="C38" s="14" t="n">
        <v>143323.188</v>
      </c>
      <c r="D38" s="14" t="n">
        <v>152961.7217</v>
      </c>
      <c r="E38" s="26" t="n">
        <v>4.9324</v>
      </c>
      <c r="F38" s="16" t="n">
        <v>11.9892</v>
      </c>
      <c r="G38" s="17" t="n">
        <v>11.2</v>
      </c>
      <c r="H38" s="14" t="n">
        <v>198915.417</v>
      </c>
      <c r="I38" s="16" t="n">
        <v>45.6336</v>
      </c>
      <c r="J38" s="17" t="n">
        <v>512.3</v>
      </c>
      <c r="K38" s="14" t="n">
        <v>136586.186</v>
      </c>
      <c r="L38" s="26" t="n">
        <v>4.9324</v>
      </c>
      <c r="M38" s="14" t="n">
        <v>55592.229</v>
      </c>
      <c r="N38" s="16" t="n">
        <v>40.7012</v>
      </c>
      <c r="O38" s="24" t="n">
        <v>27.9476723516106</v>
      </c>
      <c r="P38" s="19" t="n">
        <v>0.0218621901229748</v>
      </c>
      <c r="Q38" s="14" t="n">
        <v>7258.966706</v>
      </c>
      <c r="R38" s="14" t="n">
        <v>165147.692</v>
      </c>
    </row>
    <row r="39" customFormat="false" ht="15" hidden="false" customHeight="false" outlineLevel="0" collapsed="false">
      <c r="A39" s="33" t="s">
        <v>53</v>
      </c>
      <c r="B39" s="20" t="s">
        <v>59</v>
      </c>
      <c r="C39" s="21" t="n">
        <v>46983.093</v>
      </c>
      <c r="D39" s="21" t="n">
        <v>59378.4968</v>
      </c>
      <c r="E39" s="29" t="n">
        <v>9.5863</v>
      </c>
      <c r="F39" s="22" t="n">
        <v>38.4981</v>
      </c>
      <c r="G39" s="23" t="n">
        <v>9.4</v>
      </c>
      <c r="H39" s="21" t="n">
        <v>83918.115</v>
      </c>
      <c r="I39" s="22" t="n">
        <v>95.7359</v>
      </c>
      <c r="J39" s="23" t="n">
        <v>484.5</v>
      </c>
      <c r="K39" s="21" t="n">
        <v>42873.136</v>
      </c>
      <c r="L39" s="29" t="n">
        <v>9.5863</v>
      </c>
      <c r="M39" s="21" t="n">
        <v>36935.022</v>
      </c>
      <c r="N39" s="22" t="n">
        <v>86.1496</v>
      </c>
      <c r="O39" s="24" t="n">
        <v>44.0131692662544</v>
      </c>
      <c r="P39" s="25" t="n">
        <v>0.0194014447884417</v>
      </c>
      <c r="Q39" s="21" t="n">
        <v>7768.419221</v>
      </c>
      <c r="R39" s="21" t="n">
        <v>68740.179</v>
      </c>
    </row>
    <row r="40" customFormat="false" ht="15" hidden="false" customHeight="false" outlineLevel="0" collapsed="false">
      <c r="A40" s="33" t="s">
        <v>53</v>
      </c>
      <c r="B40" s="13" t="s">
        <v>60</v>
      </c>
      <c r="C40" s="14" t="n">
        <v>86776.806</v>
      </c>
      <c r="D40" s="14" t="n">
        <v>92277.8006</v>
      </c>
      <c r="E40" s="29" t="n">
        <v>14.7088</v>
      </c>
      <c r="F40" s="16" t="n">
        <v>21.9805</v>
      </c>
      <c r="G40" s="17" t="n">
        <v>11.2</v>
      </c>
      <c r="H40" s="14" t="n">
        <v>142511.048</v>
      </c>
      <c r="I40" s="16" t="n">
        <v>88.383</v>
      </c>
      <c r="J40" s="17" t="n">
        <v>478.4</v>
      </c>
      <c r="K40" s="14" t="n">
        <v>75649.648</v>
      </c>
      <c r="L40" s="29" t="n">
        <v>14.7088</v>
      </c>
      <c r="M40" s="14" t="n">
        <v>55734.242</v>
      </c>
      <c r="N40" s="16" t="n">
        <v>73.6742</v>
      </c>
      <c r="O40" s="24" t="n">
        <v>39.1087166799868</v>
      </c>
      <c r="P40" s="19" t="n">
        <v>0.0234113712374582</v>
      </c>
      <c r="Q40" s="14" t="n">
        <v>3927.510691</v>
      </c>
      <c r="R40" s="14" t="n">
        <v>100774.548</v>
      </c>
    </row>
    <row r="41" customFormat="false" ht="15" hidden="false" customHeight="false" outlineLevel="0" collapsed="false">
      <c r="A41" s="33" t="s">
        <v>53</v>
      </c>
      <c r="B41" s="20" t="s">
        <v>61</v>
      </c>
      <c r="C41" s="21" t="n">
        <v>25967.717</v>
      </c>
      <c r="D41" s="21" t="n">
        <v>32049.0214</v>
      </c>
      <c r="E41" s="31" t="n">
        <v>59.8579</v>
      </c>
      <c r="F41" s="22" t="n">
        <v>97.2946</v>
      </c>
      <c r="G41" s="23" t="n">
        <v>11.2</v>
      </c>
      <c r="H41" s="21" t="n">
        <v>76269.77</v>
      </c>
      <c r="I41" s="22" t="n">
        <v>369.5186</v>
      </c>
      <c r="J41" s="23" t="n">
        <v>471.5</v>
      </c>
      <c r="K41" s="21" t="n">
        <v>16244.25</v>
      </c>
      <c r="L41" s="31" t="n">
        <v>59.8579</v>
      </c>
      <c r="M41" s="21" t="n">
        <v>50302.053</v>
      </c>
      <c r="N41" s="22" t="n">
        <v>309.6607</v>
      </c>
      <c r="O41" s="32" t="n">
        <v>65.9528054168775</v>
      </c>
      <c r="P41" s="25" t="n">
        <v>0.0237539766702015</v>
      </c>
      <c r="Q41" s="21" t="n">
        <v>3420.62844</v>
      </c>
      <c r="R41" s="21" t="n">
        <v>36824.725</v>
      </c>
    </row>
    <row r="42" customFormat="false" ht="15" hidden="false" customHeight="false" outlineLevel="0" collapsed="false">
      <c r="A42" s="33" t="s">
        <v>53</v>
      </c>
      <c r="B42" s="13" t="s">
        <v>62</v>
      </c>
      <c r="C42" s="14" t="n">
        <v>181977.871</v>
      </c>
      <c r="D42" s="14" t="n">
        <v>190761.8154</v>
      </c>
      <c r="E42" s="26" t="n">
        <v>4.4777</v>
      </c>
      <c r="F42" s="16" t="n">
        <v>9.5208</v>
      </c>
      <c r="G42" s="17" t="n">
        <v>11.6</v>
      </c>
      <c r="H42" s="14" t="n">
        <v>258405.534</v>
      </c>
      <c r="I42" s="16" t="n">
        <v>48.3566</v>
      </c>
      <c r="J42" s="17" t="n">
        <v>496</v>
      </c>
      <c r="K42" s="14" t="n">
        <v>174178.667</v>
      </c>
      <c r="L42" s="26" t="n">
        <v>4.4777</v>
      </c>
      <c r="M42" s="14" t="n">
        <v>76427.663</v>
      </c>
      <c r="N42" s="16" t="n">
        <v>43.8789</v>
      </c>
      <c r="O42" s="24" t="n">
        <v>29.5766355375346</v>
      </c>
      <c r="P42" s="19" t="n">
        <v>0.0233870967741936</v>
      </c>
      <c r="Q42" s="14" t="n">
        <v>5847.836402</v>
      </c>
      <c r="R42" s="14" t="n">
        <v>201628.234</v>
      </c>
    </row>
    <row r="43" customFormat="false" ht="15" hidden="false" customHeight="false" outlineLevel="0" collapsed="false">
      <c r="A43" s="33" t="s">
        <v>53</v>
      </c>
      <c r="B43" s="20" t="s">
        <v>63</v>
      </c>
      <c r="C43" s="21" t="n">
        <v>29515.394</v>
      </c>
      <c r="D43" s="21" t="n">
        <v>35252.9033</v>
      </c>
      <c r="E43" s="31" t="n">
        <v>26.1796</v>
      </c>
      <c r="F43" s="22" t="n">
        <v>50.7078</v>
      </c>
      <c r="G43" s="23" t="n">
        <v>11.3</v>
      </c>
      <c r="H43" s="21" t="n">
        <v>55567.314</v>
      </c>
      <c r="I43" s="22" t="n">
        <v>137.5528</v>
      </c>
      <c r="J43" s="23" t="n">
        <v>472.1</v>
      </c>
      <c r="K43" s="21" t="n">
        <v>23391.565</v>
      </c>
      <c r="L43" s="31" t="n">
        <v>26.1796</v>
      </c>
      <c r="M43" s="21" t="n">
        <v>26051.92</v>
      </c>
      <c r="N43" s="22" t="n">
        <v>111.3732</v>
      </c>
      <c r="O43" s="24" t="n">
        <v>46.8835330064721</v>
      </c>
      <c r="P43" s="25" t="n">
        <v>0.0239356068629528</v>
      </c>
      <c r="Q43" s="21" t="n">
        <v>4120.698172</v>
      </c>
      <c r="R43" s="21" t="n">
        <v>43786.319</v>
      </c>
    </row>
    <row r="44" customFormat="false" ht="15" hidden="false" customHeight="false" outlineLevel="0" collapsed="false">
      <c r="A44" s="34" t="s">
        <v>64</v>
      </c>
      <c r="B44" s="13" t="s">
        <v>65</v>
      </c>
      <c r="C44" s="14" t="n">
        <v>60854.829</v>
      </c>
      <c r="D44" s="14" t="n">
        <v>67515.9927</v>
      </c>
      <c r="E44" s="31" t="n">
        <v>27.6781</v>
      </c>
      <c r="F44" s="16" t="n">
        <v>41.6537</v>
      </c>
      <c r="G44" s="17" t="n">
        <v>6.3</v>
      </c>
      <c r="H44" s="14"/>
      <c r="I44" s="16"/>
      <c r="J44" s="17"/>
      <c r="K44" s="14" t="n">
        <v>47662.707</v>
      </c>
      <c r="L44" s="31" t="n">
        <v>27.6781</v>
      </c>
      <c r="M44" s="14"/>
      <c r="N44" s="16"/>
      <c r="O44" s="18"/>
      <c r="P44" s="19"/>
      <c r="Q44" s="14" t="n">
        <v>4263.570844</v>
      </c>
      <c r="R44" s="14" t="n">
        <v>74339.252</v>
      </c>
    </row>
    <row r="45" customFormat="false" ht="15" hidden="false" customHeight="false" outlineLevel="0" collapsed="false">
      <c r="A45" s="34" t="s">
        <v>64</v>
      </c>
      <c r="B45" s="20" t="s">
        <v>66</v>
      </c>
      <c r="C45" s="21" t="n">
        <v>24678.883</v>
      </c>
      <c r="D45" s="21" t="n">
        <v>28333.2374</v>
      </c>
      <c r="E45" s="31" t="n">
        <v>79.0961</v>
      </c>
      <c r="F45" s="22" t="n">
        <v>105.6159</v>
      </c>
      <c r="G45" s="23" t="n">
        <v>6.6</v>
      </c>
      <c r="H45" s="21"/>
      <c r="I45" s="22"/>
      <c r="J45" s="23"/>
      <c r="K45" s="21" t="n">
        <v>13779.689</v>
      </c>
      <c r="L45" s="31" t="n">
        <v>79.0961</v>
      </c>
      <c r="M45" s="21"/>
      <c r="N45" s="22"/>
      <c r="O45" s="27"/>
      <c r="P45" s="25"/>
      <c r="Q45" s="21" t="n">
        <v>1720.100989</v>
      </c>
      <c r="R45" s="21" t="n">
        <v>30249.897</v>
      </c>
    </row>
    <row r="46" customFormat="false" ht="15" hidden="false" customHeight="false" outlineLevel="0" collapsed="false">
      <c r="A46" s="34" t="s">
        <v>64</v>
      </c>
      <c r="B46" s="13" t="s">
        <v>67</v>
      </c>
      <c r="C46" s="14" t="n">
        <v>125456.956</v>
      </c>
      <c r="D46" s="14" t="n">
        <v>138962.1107</v>
      </c>
      <c r="E46" s="29" t="n">
        <v>11.1269</v>
      </c>
      <c r="F46" s="16" t="n">
        <v>23.0895</v>
      </c>
      <c r="G46" s="17" t="n">
        <v>7.4</v>
      </c>
      <c r="H46" s="14"/>
      <c r="I46" s="16"/>
      <c r="J46" s="17"/>
      <c r="K46" s="14" t="n">
        <v>112895.177</v>
      </c>
      <c r="L46" s="29" t="n">
        <v>11.1269</v>
      </c>
      <c r="M46" s="14"/>
      <c r="N46" s="16"/>
      <c r="O46" s="18"/>
      <c r="P46" s="19"/>
      <c r="Q46" s="14" t="n">
        <v>8448.397163</v>
      </c>
      <c r="R46" s="14" t="n">
        <v>152022.265</v>
      </c>
    </row>
    <row r="47" customFormat="false" ht="15" hidden="false" customHeight="false" outlineLevel="0" collapsed="false">
      <c r="A47" s="34" t="s">
        <v>64</v>
      </c>
      <c r="B47" s="20" t="s">
        <v>68</v>
      </c>
      <c r="C47" s="21" t="n">
        <v>64032.779</v>
      </c>
      <c r="D47" s="21" t="n">
        <v>68758.8061</v>
      </c>
      <c r="E47" s="31" t="n">
        <v>24.4277</v>
      </c>
      <c r="F47" s="22" t="n">
        <v>33.6113</v>
      </c>
      <c r="G47" s="23" t="n">
        <v>6.4</v>
      </c>
      <c r="H47" s="21"/>
      <c r="I47" s="22"/>
      <c r="J47" s="23"/>
      <c r="K47" s="21" t="n">
        <v>51461.816</v>
      </c>
      <c r="L47" s="31" t="n">
        <v>24.4277</v>
      </c>
      <c r="M47" s="21"/>
      <c r="N47" s="22"/>
      <c r="O47" s="27"/>
      <c r="P47" s="25"/>
      <c r="Q47" s="21" t="n">
        <v>2573.84291</v>
      </c>
      <c r="R47" s="21" t="n">
        <v>73911.899</v>
      </c>
    </row>
    <row r="48" customFormat="false" ht="15" hidden="false" customHeight="false" outlineLevel="0" collapsed="false">
      <c r="A48" s="34" t="s">
        <v>64</v>
      </c>
      <c r="B48" s="13" t="s">
        <v>69</v>
      </c>
      <c r="C48" s="14" t="n">
        <v>151274.675</v>
      </c>
      <c r="D48" s="14" t="n">
        <v>162985.088</v>
      </c>
      <c r="E48" s="29" t="n">
        <v>8.8326</v>
      </c>
      <c r="F48" s="16" t="n">
        <v>17.2575</v>
      </c>
      <c r="G48" s="17" t="n">
        <v>6.2</v>
      </c>
      <c r="H48" s="14"/>
      <c r="I48" s="16"/>
      <c r="J48" s="17"/>
      <c r="K48" s="14" t="n">
        <v>138997.566</v>
      </c>
      <c r="L48" s="29" t="n">
        <v>8.8326</v>
      </c>
      <c r="M48" s="14"/>
      <c r="N48" s="16"/>
      <c r="O48" s="18"/>
      <c r="P48" s="19"/>
      <c r="Q48" s="14" t="n">
        <v>7723.073496</v>
      </c>
      <c r="R48" s="14" t="n">
        <v>174735.918</v>
      </c>
    </row>
    <row r="49" customFormat="false" ht="15" hidden="false" customHeight="false" outlineLevel="0" collapsed="false">
      <c r="A49" s="34" t="s">
        <v>64</v>
      </c>
      <c r="B49" s="20" t="s">
        <v>70</v>
      </c>
      <c r="C49" s="21" t="n">
        <v>65031.97</v>
      </c>
      <c r="D49" s="21" t="n">
        <v>73037.7693</v>
      </c>
      <c r="E49" s="31" t="n">
        <v>43.9361</v>
      </c>
      <c r="F49" s="22" t="n">
        <v>61.6554</v>
      </c>
      <c r="G49" s="23" t="n">
        <v>5.7</v>
      </c>
      <c r="H49" s="21"/>
      <c r="I49" s="22"/>
      <c r="J49" s="23"/>
      <c r="K49" s="21" t="n">
        <v>45181.148</v>
      </c>
      <c r="L49" s="31" t="n">
        <v>43.9361</v>
      </c>
      <c r="M49" s="21"/>
      <c r="N49" s="22"/>
      <c r="O49" s="27"/>
      <c r="P49" s="25"/>
      <c r="Q49" s="21" t="n">
        <v>4691.735611</v>
      </c>
      <c r="R49" s="21" t="n">
        <v>79027.113</v>
      </c>
    </row>
    <row r="50" customFormat="false" ht="15" hidden="false" customHeight="false" outlineLevel="0" collapsed="false">
      <c r="A50" s="34" t="s">
        <v>64</v>
      </c>
      <c r="B50" s="13" t="s">
        <v>71</v>
      </c>
      <c r="C50" s="14" t="n">
        <v>94255.685</v>
      </c>
      <c r="D50" s="14" t="n">
        <v>99032.0577</v>
      </c>
      <c r="E50" s="31" t="n">
        <v>20.961</v>
      </c>
      <c r="F50" s="16" t="n">
        <v>27.0906</v>
      </c>
      <c r="G50" s="17" t="n">
        <v>7.1</v>
      </c>
      <c r="H50" s="14"/>
      <c r="I50" s="16"/>
      <c r="J50" s="17"/>
      <c r="K50" s="14" t="n">
        <v>77922.383</v>
      </c>
      <c r="L50" s="31" t="n">
        <v>20.961</v>
      </c>
      <c r="M50" s="14"/>
      <c r="N50" s="16"/>
      <c r="O50" s="18"/>
      <c r="P50" s="19"/>
      <c r="Q50" s="14" t="n">
        <v>2703.991829</v>
      </c>
      <c r="R50" s="14" t="n">
        <v>104628.853</v>
      </c>
    </row>
    <row r="51" customFormat="false" ht="15" hidden="false" customHeight="false" outlineLevel="0" collapsed="false">
      <c r="A51" s="34" t="s">
        <v>64</v>
      </c>
      <c r="B51" s="20" t="s">
        <v>72</v>
      </c>
      <c r="C51" s="21" t="n">
        <v>32669.616</v>
      </c>
      <c r="D51" s="21" t="n">
        <v>38965.4109</v>
      </c>
      <c r="E51" s="31" t="n">
        <v>76.1517</v>
      </c>
      <c r="F51" s="22" t="n">
        <v>110.0981</v>
      </c>
      <c r="G51" s="23" t="n">
        <v>6.2</v>
      </c>
      <c r="H51" s="21" t="n">
        <v>87045.064</v>
      </c>
      <c r="I51" s="22" t="n">
        <v>369.3394</v>
      </c>
      <c r="J51" s="23" t="n">
        <v>303.2</v>
      </c>
      <c r="K51" s="21" t="n">
        <v>18546.294</v>
      </c>
      <c r="L51" s="31" t="n">
        <v>76.1517</v>
      </c>
      <c r="M51" s="21" t="n">
        <v>54375.448</v>
      </c>
      <c r="N51" s="22" t="n">
        <v>293.1877</v>
      </c>
      <c r="O51" s="32" t="n">
        <v>62.4681578728002</v>
      </c>
      <c r="P51" s="25" t="n">
        <v>0.0204485488126649</v>
      </c>
      <c r="Q51" s="21" t="n">
        <v>4790.849192</v>
      </c>
      <c r="R51" s="21" t="n">
        <v>47654.487</v>
      </c>
    </row>
    <row r="52" customFormat="false" ht="15" hidden="false" customHeight="false" outlineLevel="0" collapsed="false">
      <c r="A52" s="34" t="s">
        <v>64</v>
      </c>
      <c r="B52" s="13" t="s">
        <v>73</v>
      </c>
      <c r="C52" s="14" t="n">
        <v>191392.854</v>
      </c>
      <c r="D52" s="14" t="n">
        <v>206137.3237</v>
      </c>
      <c r="E52" s="29" t="n">
        <v>8.7883</v>
      </c>
      <c r="F52" s="16" t="n">
        <v>17.1691</v>
      </c>
      <c r="G52" s="17" t="n">
        <v>7.1</v>
      </c>
      <c r="H52" s="14" t="n">
        <v>267526.018</v>
      </c>
      <c r="I52" s="16" t="n">
        <v>52.0627</v>
      </c>
      <c r="J52" s="17" t="n">
        <v>322</v>
      </c>
      <c r="K52" s="14" t="n">
        <v>175931.402</v>
      </c>
      <c r="L52" s="29" t="n">
        <v>8.7883</v>
      </c>
      <c r="M52" s="14" t="n">
        <v>76133.164</v>
      </c>
      <c r="N52" s="16" t="n">
        <v>43.2744</v>
      </c>
      <c r="O52" s="24" t="n">
        <v>28.4582279395345</v>
      </c>
      <c r="P52" s="19" t="n">
        <v>0.0220496894409938</v>
      </c>
      <c r="Q52" s="14" t="n">
        <v>11323.551517</v>
      </c>
      <c r="R52" s="14" t="n">
        <v>232845.395</v>
      </c>
    </row>
    <row r="53" customFormat="false" ht="15" hidden="false" customHeight="false" outlineLevel="0" collapsed="false">
      <c r="A53" s="34" t="s">
        <v>64</v>
      </c>
      <c r="B53" s="20" t="s">
        <v>74</v>
      </c>
      <c r="C53" s="21" t="n">
        <v>36024.753</v>
      </c>
      <c r="D53" s="21" t="n">
        <v>41176.6498</v>
      </c>
      <c r="E53" s="31" t="n">
        <v>50.0323</v>
      </c>
      <c r="F53" s="22" t="n">
        <v>71.4884</v>
      </c>
      <c r="G53" s="23" t="n">
        <v>6.3</v>
      </c>
      <c r="H53" s="21" t="n">
        <v>69121.466</v>
      </c>
      <c r="I53" s="22" t="n">
        <v>187.8702</v>
      </c>
      <c r="J53" s="23" t="n">
        <v>306.6</v>
      </c>
      <c r="K53" s="21" t="n">
        <v>24011.33</v>
      </c>
      <c r="L53" s="31" t="n">
        <v>50.0323</v>
      </c>
      <c r="M53" s="21" t="n">
        <v>33096.713</v>
      </c>
      <c r="N53" s="22" t="n">
        <v>137.8379</v>
      </c>
      <c r="O53" s="24" t="n">
        <v>47.8819604317999</v>
      </c>
      <c r="P53" s="25" t="n">
        <v>0.0205479452054795</v>
      </c>
      <c r="Q53" s="21" t="n">
        <v>2280.017655</v>
      </c>
      <c r="R53" s="21" t="n">
        <v>46318.834</v>
      </c>
    </row>
  </sheetData>
  <mergeCells count="7">
    <mergeCell ref="A1:R1"/>
    <mergeCell ref="A2:B2"/>
    <mergeCell ref="C2:E2"/>
    <mergeCell ref="F2:H2"/>
    <mergeCell ref="I2:J2"/>
    <mergeCell ref="K2:N2"/>
    <mergeCell ref="O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7" min="4" style="0" width="16"/>
    <col collapsed="false" customWidth="true" hidden="false" outlineLevel="0" max="8" min="8" style="0" width="14"/>
    <col collapsed="false" customWidth="true" hidden="false" outlineLevel="0" max="11" min="9" style="0" width="15"/>
    <col collapsed="false" customWidth="true" hidden="false" outlineLevel="0" max="12" min="12" style="0" width="11"/>
    <col collapsed="false" customWidth="true" hidden="false" outlineLevel="0" max="13" min="13" style="0" width="13"/>
  </cols>
  <sheetData>
    <row r="1" customFormat="false" ht="19.5" hidden="false" customHeight="true" outlineLevel="0" collapsed="false">
      <c r="A1" s="35" t="s">
        <v>75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34.5" hidden="false" customHeight="true" outlineLevel="0" collapsed="false">
      <c r="A2" s="36" t="s">
        <v>7</v>
      </c>
      <c r="B2" s="36" t="s">
        <v>76</v>
      </c>
      <c r="C2" s="36" t="s">
        <v>77</v>
      </c>
      <c r="D2" s="37" t="s">
        <v>78</v>
      </c>
      <c r="E2" s="37" t="s">
        <v>79</v>
      </c>
      <c r="F2" s="38" t="s">
        <v>80</v>
      </c>
      <c r="G2" s="38" t="s">
        <v>81</v>
      </c>
      <c r="H2" s="39" t="s">
        <v>82</v>
      </c>
      <c r="I2" s="39" t="s">
        <v>83</v>
      </c>
      <c r="J2" s="37" t="s">
        <v>84</v>
      </c>
      <c r="K2" s="38" t="s">
        <v>85</v>
      </c>
      <c r="L2" s="39" t="s">
        <v>86</v>
      </c>
      <c r="M2" s="37" t="s">
        <v>87</v>
      </c>
    </row>
    <row r="3" customFormat="false" ht="15" hidden="false" customHeight="false" outlineLevel="0" collapsed="false">
      <c r="A3" s="40" t="s">
        <v>20</v>
      </c>
      <c r="B3" s="41" t="s">
        <v>88</v>
      </c>
      <c r="C3" s="41" t="n">
        <v>10</v>
      </c>
      <c r="D3" s="42" t="n">
        <v>0.51582</v>
      </c>
      <c r="E3" s="42" t="n">
        <v>3.23293</v>
      </c>
      <c r="F3" s="42" t="n">
        <v>17.74989</v>
      </c>
      <c r="G3" s="42" t="n">
        <v>36.87025</v>
      </c>
      <c r="H3" s="42" t="n">
        <v>17.23407</v>
      </c>
      <c r="I3" s="42" t="n">
        <v>97.0939538216857</v>
      </c>
      <c r="J3" s="43" t="n">
        <v>2154.78</v>
      </c>
      <c r="K3" s="43" t="n">
        <v>6948.12</v>
      </c>
      <c r="L3" s="44" t="n">
        <v>0.310124177475346</v>
      </c>
      <c r="M3" s="41" t="s">
        <v>89</v>
      </c>
    </row>
    <row r="4" customFormat="false" ht="15" hidden="false" customHeight="false" outlineLevel="0" collapsed="false">
      <c r="A4" s="45" t="s">
        <v>31</v>
      </c>
      <c r="B4" s="46" t="s">
        <v>90</v>
      </c>
      <c r="C4" s="46" t="n">
        <v>10</v>
      </c>
      <c r="D4" s="47" t="n">
        <v>2.71614444444445</v>
      </c>
      <c r="E4" s="47" t="n">
        <v>9.40446666666667</v>
      </c>
      <c r="F4" s="47" t="n">
        <v>35.5351888888889</v>
      </c>
      <c r="G4" s="47" t="n">
        <v>73.3661444444444</v>
      </c>
      <c r="H4" s="47" t="n">
        <v>32.8190444444444</v>
      </c>
      <c r="I4" s="47" t="n">
        <v>92.3564654378586</v>
      </c>
      <c r="J4" s="48" t="n">
        <v>311.22</v>
      </c>
      <c r="K4" s="48" t="n">
        <v>1601.12</v>
      </c>
      <c r="L4" s="49" t="n">
        <v>0.194376436494454</v>
      </c>
      <c r="M4" s="46" t="s">
        <v>91</v>
      </c>
    </row>
    <row r="5" customFormat="false" ht="15" hidden="false" customHeight="false" outlineLevel="0" collapsed="false">
      <c r="A5" s="50" t="s">
        <v>42</v>
      </c>
      <c r="B5" s="41" t="s">
        <v>92</v>
      </c>
      <c r="C5" s="41" t="n">
        <v>10</v>
      </c>
      <c r="D5" s="42" t="n">
        <v>10.7372142857143</v>
      </c>
      <c r="E5" s="42" t="n">
        <v>21.2964285714286</v>
      </c>
      <c r="F5" s="42" t="n">
        <v>100.756385714286</v>
      </c>
      <c r="G5" s="42" t="n">
        <v>133.5183</v>
      </c>
      <c r="H5" s="42" t="n">
        <v>90.0191714285714</v>
      </c>
      <c r="I5" s="42" t="n">
        <v>89.3433907840226</v>
      </c>
      <c r="J5" s="43" t="n">
        <v>19.08</v>
      </c>
      <c r="K5" s="43" t="n">
        <v>760.8</v>
      </c>
      <c r="L5" s="44" t="n">
        <v>0.0250788643533123</v>
      </c>
      <c r="M5" s="41" t="s">
        <v>93</v>
      </c>
    </row>
    <row r="6" customFormat="false" ht="15" hidden="false" customHeight="false" outlineLevel="0" collapsed="false">
      <c r="A6" s="51" t="s">
        <v>53</v>
      </c>
      <c r="B6" s="46" t="s">
        <v>94</v>
      </c>
      <c r="C6" s="46" t="n">
        <v>10</v>
      </c>
      <c r="D6" s="47" t="n">
        <v>22.00859</v>
      </c>
      <c r="E6" s="47" t="n">
        <v>38.03754</v>
      </c>
      <c r="F6" s="47" t="n">
        <v>145.35983</v>
      </c>
      <c r="G6" s="47" t="n">
        <v>189.93853</v>
      </c>
      <c r="H6" s="47" t="n">
        <v>123.35124</v>
      </c>
      <c r="I6" s="47" t="n">
        <v>84.8592351820995</v>
      </c>
      <c r="J6" s="48" t="n">
        <v>11.53</v>
      </c>
      <c r="K6" s="48" t="n">
        <v>487.39</v>
      </c>
      <c r="L6" s="49" t="n">
        <v>0.023656619955272</v>
      </c>
      <c r="M6" s="46" t="s">
        <v>95</v>
      </c>
    </row>
    <row r="7" customFormat="false" ht="15" hidden="false" customHeight="false" outlineLevel="0" collapsed="false">
      <c r="A7" s="52" t="s">
        <v>64</v>
      </c>
      <c r="B7" s="41" t="s">
        <v>96</v>
      </c>
      <c r="C7" s="41" t="n">
        <v>10</v>
      </c>
      <c r="D7" s="42" t="n">
        <v>35.10308</v>
      </c>
      <c r="E7" s="42" t="n">
        <v>50.87295</v>
      </c>
      <c r="F7" s="42" t="n">
        <v>203.090766666667</v>
      </c>
      <c r="G7" s="42" t="n">
        <v>255.522866666667</v>
      </c>
      <c r="H7" s="42" t="n">
        <v>167.987686666667</v>
      </c>
      <c r="I7" s="42" t="n">
        <v>82.7155706898213</v>
      </c>
      <c r="J7" s="43" t="n">
        <v>6.53</v>
      </c>
      <c r="K7" s="43" t="n">
        <v>310.6</v>
      </c>
      <c r="L7" s="44" t="n">
        <v>0.0210238248551191</v>
      </c>
      <c r="M7" s="41" t="s">
        <v>97</v>
      </c>
    </row>
    <row r="8" customFormat="false" ht="23.85" hidden="false" customHeight="false" outlineLevel="0" collapsed="false">
      <c r="A8" s="53" t="s">
        <v>98</v>
      </c>
      <c r="B8" s="54"/>
      <c r="C8" s="55" t="n">
        <v>50</v>
      </c>
      <c r="D8" s="56" t="n">
        <f aca="false">AVERAGE(D3:D7)</f>
        <v>14.2161697460317</v>
      </c>
      <c r="E8" s="56" t="n">
        <f aca="false">AVERAGE(E3:E7)</f>
        <v>24.568863047619</v>
      </c>
      <c r="F8" s="56" t="n">
        <f aca="false">AVERAGE(F3:F7)</f>
        <v>100.498412253968</v>
      </c>
      <c r="G8" s="56" t="n">
        <f aca="false">AVERAGE(G3:G7)</f>
        <v>137.843218222222</v>
      </c>
      <c r="H8" s="56" t="n">
        <f aca="false">AVERAGE(H3:H7)</f>
        <v>86.2822425079365</v>
      </c>
      <c r="I8" s="56" t="n">
        <f aca="false">AVERAGE(I3:I7)</f>
        <v>89.2737231830975</v>
      </c>
      <c r="J8" s="56" t="n">
        <f aca="false">AVERAGE(J3:J7)</f>
        <v>500.628</v>
      </c>
      <c r="K8" s="56" t="n">
        <f aca="false">AVERAGE(K3:K7)</f>
        <v>2021.606</v>
      </c>
      <c r="L8" s="54"/>
      <c r="M8" s="54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6" min="3" style="0" width="14"/>
    <col collapsed="false" customWidth="true" hidden="false" outlineLevel="0" max="8" min="7" style="0" width="12"/>
    <col collapsed="false" customWidth="true" hidden="false" outlineLevel="0" max="9" min="9" style="0" width="20"/>
  </cols>
  <sheetData>
    <row r="1" customFormat="false" ht="15" hidden="false" customHeight="true" outlineLevel="0" collapsed="false">
      <c r="A1" s="35" t="s">
        <v>99</v>
      </c>
      <c r="B1" s="35"/>
      <c r="C1" s="35"/>
      <c r="D1" s="35"/>
      <c r="E1" s="35"/>
      <c r="F1" s="35"/>
      <c r="G1" s="35"/>
      <c r="H1" s="35"/>
      <c r="I1" s="35"/>
    </row>
    <row r="2" customFormat="false" ht="24.75" hidden="false" customHeight="true" outlineLevel="0" collapsed="false">
      <c r="A2" s="57" t="s">
        <v>7</v>
      </c>
      <c r="B2" s="57" t="s">
        <v>100</v>
      </c>
      <c r="C2" s="57" t="s">
        <v>1</v>
      </c>
      <c r="D2" s="57" t="s">
        <v>101</v>
      </c>
      <c r="E2" s="57" t="s">
        <v>102</v>
      </c>
      <c r="F2" s="57" t="s">
        <v>103</v>
      </c>
      <c r="G2" s="57" t="s">
        <v>104</v>
      </c>
      <c r="H2" s="57" t="s">
        <v>105</v>
      </c>
      <c r="I2" s="57" t="s">
        <v>106</v>
      </c>
    </row>
    <row r="3" customFormat="false" ht="15" hidden="false" customHeight="false" outlineLevel="0" collapsed="false">
      <c r="A3" s="40" t="s">
        <v>20</v>
      </c>
      <c r="B3" s="58" t="s">
        <v>107</v>
      </c>
      <c r="C3" s="59" t="s">
        <v>26</v>
      </c>
      <c r="D3" s="60" t="n">
        <v>35426.141</v>
      </c>
      <c r="E3" s="61" t="n">
        <v>0</v>
      </c>
      <c r="F3" s="61" t="n">
        <v>36.0066</v>
      </c>
      <c r="G3" s="62" t="n">
        <v>36.0066</v>
      </c>
      <c r="H3" s="63" t="n">
        <v>2149</v>
      </c>
      <c r="I3" s="59" t="s">
        <v>108</v>
      </c>
    </row>
    <row r="4" customFormat="false" ht="15" hidden="false" customHeight="false" outlineLevel="0" collapsed="false">
      <c r="A4" s="40" t="s">
        <v>20</v>
      </c>
      <c r="B4" s="64" t="s">
        <v>109</v>
      </c>
      <c r="C4" s="65" t="s">
        <v>24</v>
      </c>
      <c r="D4" s="66" t="n">
        <v>40735.321</v>
      </c>
      <c r="E4" s="67" t="n">
        <v>2.6203</v>
      </c>
      <c r="F4" s="67" t="n">
        <v>11.1457</v>
      </c>
      <c r="G4" s="68" t="n">
        <v>8.5254</v>
      </c>
      <c r="H4" s="69" t="n">
        <v>2540</v>
      </c>
      <c r="I4" s="65" t="s">
        <v>110</v>
      </c>
    </row>
    <row r="6" customFormat="false" ht="15" hidden="false" customHeight="false" outlineLevel="0" collapsed="false">
      <c r="A6" s="45" t="s">
        <v>31</v>
      </c>
      <c r="B6" s="58" t="s">
        <v>107</v>
      </c>
      <c r="C6" s="59" t="s">
        <v>40</v>
      </c>
      <c r="D6" s="60" t="n">
        <v>169602.936</v>
      </c>
      <c r="E6" s="61" t="n">
        <v>0.3459</v>
      </c>
      <c r="F6" s="61" t="n">
        <v>12.3982</v>
      </c>
      <c r="G6" s="62" t="n">
        <v>12.0523</v>
      </c>
      <c r="H6" s="63" t="n">
        <v>338.1</v>
      </c>
      <c r="I6" s="59" t="s">
        <v>108</v>
      </c>
    </row>
    <row r="7" customFormat="false" ht="15" hidden="false" customHeight="false" outlineLevel="0" collapsed="false">
      <c r="A7" s="45" t="s">
        <v>31</v>
      </c>
      <c r="B7" s="64" t="s">
        <v>109</v>
      </c>
      <c r="C7" s="65" t="s">
        <v>33</v>
      </c>
      <c r="D7" s="66" t="n">
        <v>8845.78</v>
      </c>
      <c r="E7" s="67" t="n">
        <v>6.1252</v>
      </c>
      <c r="F7" s="67" t="n">
        <v>49.8258</v>
      </c>
      <c r="G7" s="68" t="n">
        <v>43.7006</v>
      </c>
      <c r="H7" s="69" t="n">
        <v>297.4</v>
      </c>
      <c r="I7" s="65" t="s">
        <v>111</v>
      </c>
    </row>
    <row r="9" customFormat="false" ht="15" hidden="false" customHeight="false" outlineLevel="0" collapsed="false">
      <c r="A9" s="50" t="s">
        <v>42</v>
      </c>
      <c r="B9" s="58" t="s">
        <v>107</v>
      </c>
      <c r="C9" s="59" t="s">
        <v>47</v>
      </c>
      <c r="D9" s="60" t="n">
        <v>137497.564</v>
      </c>
      <c r="E9" s="61" t="n">
        <v>2.4434</v>
      </c>
      <c r="F9" s="61" t="n">
        <v>24.8554</v>
      </c>
      <c r="G9" s="62" t="n">
        <v>22.412</v>
      </c>
      <c r="H9" s="63" t="n">
        <v>19.7</v>
      </c>
      <c r="I9" s="59" t="s">
        <v>112</v>
      </c>
    </row>
    <row r="10" customFormat="false" ht="15" hidden="false" customHeight="false" outlineLevel="0" collapsed="false">
      <c r="A10" s="50" t="s">
        <v>42</v>
      </c>
      <c r="B10" s="64" t="s">
        <v>109</v>
      </c>
      <c r="C10" s="65" t="s">
        <v>44</v>
      </c>
      <c r="D10" s="66" t="n">
        <v>12905.258</v>
      </c>
      <c r="E10" s="67" t="n">
        <v>22.8913</v>
      </c>
      <c r="F10" s="67" t="n">
        <v>316.3873</v>
      </c>
      <c r="G10" s="68" t="n">
        <v>293.496</v>
      </c>
      <c r="H10" s="69" t="n">
        <v>19.3</v>
      </c>
      <c r="I10" s="65" t="s">
        <v>113</v>
      </c>
    </row>
    <row r="12" customFormat="false" ht="15" hidden="false" customHeight="false" outlineLevel="0" collapsed="false">
      <c r="A12" s="51" t="s">
        <v>53</v>
      </c>
      <c r="B12" s="58" t="s">
        <v>107</v>
      </c>
      <c r="C12" s="59" t="s">
        <v>62</v>
      </c>
      <c r="D12" s="60" t="n">
        <v>181977.871</v>
      </c>
      <c r="E12" s="61" t="n">
        <v>4.4777</v>
      </c>
      <c r="F12" s="61" t="n">
        <v>48.3566</v>
      </c>
      <c r="G12" s="62" t="n">
        <v>43.8789</v>
      </c>
      <c r="H12" s="63" t="n">
        <v>11.6</v>
      </c>
      <c r="I12" s="59" t="s">
        <v>114</v>
      </c>
    </row>
    <row r="13" customFormat="false" ht="15" hidden="false" customHeight="false" outlineLevel="0" collapsed="false">
      <c r="A13" s="51" t="s">
        <v>53</v>
      </c>
      <c r="B13" s="64" t="s">
        <v>109</v>
      </c>
      <c r="C13" s="65" t="s">
        <v>61</v>
      </c>
      <c r="D13" s="66" t="n">
        <v>25967.717</v>
      </c>
      <c r="E13" s="67" t="n">
        <v>59.8579</v>
      </c>
      <c r="F13" s="67" t="n">
        <v>369.5186</v>
      </c>
      <c r="G13" s="68" t="n">
        <v>309.6607</v>
      </c>
      <c r="H13" s="69" t="n">
        <v>11.2</v>
      </c>
      <c r="I13" s="65" t="s">
        <v>115</v>
      </c>
    </row>
    <row r="15" customFormat="false" ht="15" hidden="false" customHeight="false" outlineLevel="0" collapsed="false">
      <c r="A15" s="52" t="s">
        <v>64</v>
      </c>
      <c r="B15" s="58" t="s">
        <v>107</v>
      </c>
      <c r="C15" s="59" t="s">
        <v>73</v>
      </c>
      <c r="D15" s="60" t="n">
        <v>191392.854</v>
      </c>
      <c r="E15" s="61" t="n">
        <v>8.7883</v>
      </c>
      <c r="F15" s="61" t="n">
        <v>52.0627</v>
      </c>
      <c r="G15" s="62" t="n">
        <v>43.2744</v>
      </c>
      <c r="H15" s="63" t="n">
        <v>7.1</v>
      </c>
      <c r="I15" s="59" t="s">
        <v>116</v>
      </c>
    </row>
    <row r="16" customFormat="false" ht="15" hidden="false" customHeight="false" outlineLevel="0" collapsed="false">
      <c r="A16" s="52" t="s">
        <v>64</v>
      </c>
      <c r="B16" s="64" t="s">
        <v>109</v>
      </c>
      <c r="C16" s="65" t="s">
        <v>66</v>
      </c>
      <c r="D16" s="66" t="n">
        <v>24678.883</v>
      </c>
      <c r="E16" s="67" t="n">
        <v>79.0961</v>
      </c>
      <c r="F16" s="67"/>
      <c r="G16" s="68"/>
      <c r="H16" s="69" t="n">
        <v>6.6</v>
      </c>
      <c r="I16" s="65" t="s">
        <v>115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0"/>
  </cols>
  <sheetData>
    <row r="1" customFormat="false" ht="15" hidden="false" customHeight="true" outlineLevel="0" collapsed="false">
      <c r="A1" s="35" t="s">
        <v>117</v>
      </c>
      <c r="B1" s="35"/>
      <c r="C1" s="35"/>
      <c r="D1" s="35"/>
      <c r="E1" s="35"/>
      <c r="F1" s="35"/>
      <c r="G1" s="35"/>
    </row>
    <row r="2" customFormat="false" ht="24.75" hidden="false" customHeight="true" outlineLevel="0" collapsed="false">
      <c r="A2" s="39" t="s">
        <v>7</v>
      </c>
      <c r="B2" s="39" t="s">
        <v>1</v>
      </c>
      <c r="C2" s="39" t="s">
        <v>118</v>
      </c>
      <c r="D2" s="39" t="s">
        <v>119</v>
      </c>
      <c r="E2" s="39" t="s">
        <v>120</v>
      </c>
      <c r="F2" s="39" t="s">
        <v>121</v>
      </c>
      <c r="G2" s="39" t="s">
        <v>122</v>
      </c>
    </row>
    <row r="3" customFormat="false" ht="15" hidden="false" customHeight="false" outlineLevel="0" collapsed="false">
      <c r="A3" s="70" t="s">
        <v>20</v>
      </c>
      <c r="B3" s="71" t="s">
        <v>21</v>
      </c>
      <c r="C3" s="72"/>
      <c r="D3" s="72" t="n">
        <v>86308.908</v>
      </c>
      <c r="E3" s="71" t="s">
        <v>123</v>
      </c>
      <c r="F3" s="72"/>
      <c r="G3" s="73"/>
    </row>
    <row r="4" customFormat="false" ht="15" hidden="false" customHeight="false" outlineLevel="0" collapsed="false">
      <c r="A4" s="70" t="s">
        <v>20</v>
      </c>
      <c r="B4" s="71" t="s">
        <v>22</v>
      </c>
      <c r="C4" s="72"/>
      <c r="D4" s="72" t="n">
        <v>5658.468</v>
      </c>
      <c r="E4" s="71" t="s">
        <v>123</v>
      </c>
      <c r="F4" s="72"/>
      <c r="G4" s="73"/>
    </row>
    <row r="5" customFormat="false" ht="15" hidden="false" customHeight="false" outlineLevel="0" collapsed="false">
      <c r="A5" s="70" t="s">
        <v>20</v>
      </c>
      <c r="B5" s="71" t="s">
        <v>23</v>
      </c>
      <c r="C5" s="72"/>
      <c r="D5" s="72" t="n">
        <v>99968.134</v>
      </c>
      <c r="E5" s="71" t="s">
        <v>123</v>
      </c>
      <c r="F5" s="72"/>
      <c r="G5" s="73"/>
    </row>
    <row r="6" customFormat="false" ht="15" hidden="false" customHeight="false" outlineLevel="0" collapsed="false">
      <c r="A6" s="70" t="s">
        <v>20</v>
      </c>
      <c r="B6" s="71" t="s">
        <v>24</v>
      </c>
      <c r="C6" s="72"/>
      <c r="D6" s="72" t="n">
        <v>40735.321</v>
      </c>
      <c r="E6" s="71" t="s">
        <v>123</v>
      </c>
      <c r="F6" s="72"/>
      <c r="G6" s="73"/>
    </row>
    <row r="7" customFormat="false" ht="15" hidden="false" customHeight="false" outlineLevel="0" collapsed="false">
      <c r="A7" s="70" t="s">
        <v>20</v>
      </c>
      <c r="B7" s="71" t="s">
        <v>25</v>
      </c>
      <c r="C7" s="72"/>
      <c r="D7" s="72" t="n">
        <v>127777.551</v>
      </c>
      <c r="E7" s="71" t="s">
        <v>123</v>
      </c>
      <c r="F7" s="72"/>
      <c r="G7" s="73"/>
    </row>
    <row r="8" customFormat="false" ht="15" hidden="false" customHeight="false" outlineLevel="0" collapsed="false">
      <c r="A8" s="70" t="s">
        <v>20</v>
      </c>
      <c r="B8" s="71" t="s">
        <v>26</v>
      </c>
      <c r="C8" s="72"/>
      <c r="D8" s="72" t="n">
        <v>35426.141</v>
      </c>
      <c r="E8" s="71" t="s">
        <v>123</v>
      </c>
      <c r="F8" s="72"/>
      <c r="G8" s="73"/>
    </row>
    <row r="9" customFormat="false" ht="15" hidden="false" customHeight="false" outlineLevel="0" collapsed="false">
      <c r="A9" s="70" t="s">
        <v>20</v>
      </c>
      <c r="B9" s="71" t="s">
        <v>27</v>
      </c>
      <c r="C9" s="72"/>
      <c r="D9" s="72" t="n">
        <v>67131.923</v>
      </c>
      <c r="E9" s="71" t="s">
        <v>123</v>
      </c>
      <c r="F9" s="72"/>
      <c r="G9" s="73"/>
    </row>
    <row r="10" customFormat="false" ht="15" hidden="false" customHeight="false" outlineLevel="0" collapsed="false">
      <c r="A10" s="70" t="s">
        <v>20</v>
      </c>
      <c r="B10" s="71" t="s">
        <v>28</v>
      </c>
      <c r="C10" s="72"/>
      <c r="D10" s="72" t="n">
        <v>10578.918</v>
      </c>
      <c r="E10" s="71" t="s">
        <v>123</v>
      </c>
      <c r="F10" s="72"/>
      <c r="G10" s="73"/>
    </row>
    <row r="11" customFormat="false" ht="15" hidden="false" customHeight="false" outlineLevel="0" collapsed="false">
      <c r="A11" s="70" t="s">
        <v>20</v>
      </c>
      <c r="B11" s="71" t="s">
        <v>29</v>
      </c>
      <c r="C11" s="72"/>
      <c r="D11" s="72" t="n">
        <v>161396.634</v>
      </c>
      <c r="E11" s="71" t="s">
        <v>123</v>
      </c>
      <c r="F11" s="72"/>
      <c r="G11" s="73"/>
    </row>
    <row r="12" customFormat="false" ht="15" hidden="false" customHeight="false" outlineLevel="0" collapsed="false">
      <c r="A12" s="70" t="s">
        <v>20</v>
      </c>
      <c r="B12" s="71" t="s">
        <v>30</v>
      </c>
      <c r="C12" s="72"/>
      <c r="D12" s="72" t="n">
        <v>15786.292</v>
      </c>
      <c r="E12" s="71" t="s">
        <v>123</v>
      </c>
      <c r="F12" s="72"/>
      <c r="G12" s="73"/>
    </row>
    <row r="13" customFormat="false" ht="15" hidden="false" customHeight="false" outlineLevel="0" collapsed="false">
      <c r="A13" s="74" t="s">
        <v>31</v>
      </c>
      <c r="B13" s="71" t="s">
        <v>32</v>
      </c>
      <c r="C13" s="72"/>
      <c r="D13" s="72" t="n">
        <v>42131.48</v>
      </c>
      <c r="E13" s="71" t="s">
        <v>123</v>
      </c>
      <c r="F13" s="72"/>
      <c r="G13" s="73"/>
    </row>
    <row r="14" customFormat="false" ht="15" hidden="false" customHeight="false" outlineLevel="0" collapsed="false">
      <c r="A14" s="74" t="s">
        <v>31</v>
      </c>
      <c r="B14" s="71" t="s">
        <v>33</v>
      </c>
      <c r="C14" s="72"/>
      <c r="D14" s="72" t="n">
        <v>8845.78</v>
      </c>
      <c r="E14" s="71" t="s">
        <v>123</v>
      </c>
      <c r="F14" s="72"/>
      <c r="G14" s="73"/>
    </row>
    <row r="15" customFormat="false" ht="15" hidden="false" customHeight="false" outlineLevel="0" collapsed="false">
      <c r="A15" s="74" t="s">
        <v>31</v>
      </c>
      <c r="B15" s="71" t="s">
        <v>34</v>
      </c>
      <c r="C15" s="72"/>
      <c r="D15" s="72" t="n">
        <v>106455.967</v>
      </c>
      <c r="E15" s="71" t="s">
        <v>123</v>
      </c>
      <c r="F15" s="72"/>
      <c r="G15" s="73"/>
    </row>
    <row r="16" customFormat="false" ht="15" hidden="false" customHeight="false" outlineLevel="0" collapsed="false">
      <c r="A16" s="74" t="s">
        <v>31</v>
      </c>
      <c r="B16" s="71" t="s">
        <v>35</v>
      </c>
      <c r="C16" s="72"/>
      <c r="D16" s="72" t="n">
        <v>44988.661</v>
      </c>
      <c r="E16" s="71" t="s">
        <v>123</v>
      </c>
      <c r="F16" s="72"/>
      <c r="G16" s="73"/>
    </row>
    <row r="17" customFormat="false" ht="15" hidden="false" customHeight="false" outlineLevel="0" collapsed="false">
      <c r="A17" s="74" t="s">
        <v>31</v>
      </c>
      <c r="B17" s="71" t="s">
        <v>36</v>
      </c>
      <c r="C17" s="72"/>
      <c r="D17" s="72" t="n">
        <v>132911.883</v>
      </c>
      <c r="E17" s="71" t="s">
        <v>123</v>
      </c>
      <c r="F17" s="72"/>
      <c r="G17" s="73"/>
    </row>
    <row r="18" customFormat="false" ht="15" hidden="false" customHeight="false" outlineLevel="0" collapsed="false">
      <c r="A18" s="74" t="s">
        <v>31</v>
      </c>
      <c r="B18" s="71" t="s">
        <v>37</v>
      </c>
      <c r="C18" s="72"/>
      <c r="D18" s="72" t="n">
        <v>38391.069</v>
      </c>
      <c r="E18" s="71" t="s">
        <v>123</v>
      </c>
      <c r="F18" s="72"/>
      <c r="G18" s="73"/>
    </row>
    <row r="19" customFormat="false" ht="15" hidden="false" customHeight="false" outlineLevel="0" collapsed="false">
      <c r="A19" s="74" t="s">
        <v>31</v>
      </c>
      <c r="B19" s="71" t="s">
        <v>38</v>
      </c>
      <c r="C19" s="72"/>
      <c r="D19" s="72" t="n">
        <v>71354.141</v>
      </c>
      <c r="E19" s="71" t="s">
        <v>123</v>
      </c>
      <c r="F19" s="72"/>
      <c r="G19" s="73"/>
    </row>
    <row r="20" customFormat="false" ht="15" hidden="false" customHeight="false" outlineLevel="0" collapsed="false">
      <c r="A20" s="74" t="s">
        <v>31</v>
      </c>
      <c r="B20" s="71" t="s">
        <v>39</v>
      </c>
      <c r="C20" s="72"/>
      <c r="D20" s="72" t="n">
        <v>13887.95</v>
      </c>
      <c r="E20" s="71" t="s">
        <v>123</v>
      </c>
      <c r="F20" s="72"/>
      <c r="G20" s="73"/>
    </row>
    <row r="21" customFormat="false" ht="15" hidden="false" customHeight="false" outlineLevel="0" collapsed="false">
      <c r="A21" s="74" t="s">
        <v>31</v>
      </c>
      <c r="B21" s="71" t="s">
        <v>40</v>
      </c>
      <c r="C21" s="72"/>
      <c r="D21" s="72" t="n">
        <v>169602.936</v>
      </c>
      <c r="E21" s="71" t="s">
        <v>123</v>
      </c>
      <c r="F21" s="72"/>
      <c r="G21" s="73"/>
    </row>
    <row r="22" customFormat="false" ht="15" hidden="false" customHeight="false" outlineLevel="0" collapsed="false">
      <c r="A22" s="74" t="s">
        <v>31</v>
      </c>
      <c r="B22" s="71" t="s">
        <v>41</v>
      </c>
      <c r="C22" s="72"/>
      <c r="D22" s="72" t="n">
        <v>19099.846</v>
      </c>
      <c r="E22" s="71" t="s">
        <v>123</v>
      </c>
      <c r="F22" s="72"/>
      <c r="G22" s="73"/>
    </row>
    <row r="23" customFormat="false" ht="15" hidden="false" customHeight="false" outlineLevel="0" collapsed="false">
      <c r="A23" s="75" t="s">
        <v>42</v>
      </c>
      <c r="B23" s="71" t="s">
        <v>43</v>
      </c>
      <c r="C23" s="72"/>
      <c r="D23" s="72" t="n">
        <v>46301.96</v>
      </c>
      <c r="E23" s="71" t="s">
        <v>123</v>
      </c>
      <c r="F23" s="72"/>
      <c r="G23" s="73"/>
    </row>
    <row r="24" customFormat="false" ht="15" hidden="false" customHeight="false" outlineLevel="0" collapsed="false">
      <c r="A24" s="75" t="s">
        <v>42</v>
      </c>
      <c r="B24" s="71" t="s">
        <v>44</v>
      </c>
      <c r="C24" s="72"/>
      <c r="D24" s="72" t="n">
        <v>12905.258</v>
      </c>
      <c r="E24" s="71" t="s">
        <v>123</v>
      </c>
      <c r="F24" s="72"/>
      <c r="G24" s="73"/>
    </row>
    <row r="25" customFormat="false" ht="15" hidden="false" customHeight="false" outlineLevel="0" collapsed="false">
      <c r="A25" s="75" t="s">
        <v>42</v>
      </c>
      <c r="B25" s="71" t="s">
        <v>45</v>
      </c>
      <c r="C25" s="72"/>
      <c r="D25" s="72" t="n">
        <v>112567.555</v>
      </c>
      <c r="E25" s="71" t="s">
        <v>123</v>
      </c>
      <c r="F25" s="72"/>
      <c r="G25" s="73"/>
    </row>
    <row r="26" customFormat="false" ht="15" hidden="false" customHeight="false" outlineLevel="0" collapsed="false">
      <c r="A26" s="75" t="s">
        <v>42</v>
      </c>
      <c r="B26" s="71" t="s">
        <v>46</v>
      </c>
      <c r="C26" s="72"/>
      <c r="D26" s="72" t="n">
        <v>49602.858</v>
      </c>
      <c r="E26" s="71" t="s">
        <v>123</v>
      </c>
      <c r="F26" s="72"/>
      <c r="G26" s="73"/>
    </row>
    <row r="27" customFormat="false" ht="15" hidden="false" customHeight="false" outlineLevel="0" collapsed="false">
      <c r="A27" s="75" t="s">
        <v>42</v>
      </c>
      <c r="B27" s="71" t="s">
        <v>47</v>
      </c>
      <c r="C27" s="72"/>
      <c r="D27" s="72" t="n">
        <v>137497.564</v>
      </c>
      <c r="E27" s="71" t="s">
        <v>123</v>
      </c>
      <c r="F27" s="72"/>
      <c r="G27" s="73"/>
    </row>
    <row r="28" customFormat="false" ht="15" hidden="false" customHeight="false" outlineLevel="0" collapsed="false">
      <c r="A28" s="75" t="s">
        <v>42</v>
      </c>
      <c r="B28" s="71" t="s">
        <v>48</v>
      </c>
      <c r="C28" s="72"/>
      <c r="D28" s="72" t="n">
        <v>49299.99</v>
      </c>
      <c r="E28" s="71" t="s">
        <v>123</v>
      </c>
      <c r="F28" s="72"/>
      <c r="G28" s="73"/>
    </row>
    <row r="29" customFormat="false" ht="15" hidden="false" customHeight="false" outlineLevel="0" collapsed="false">
      <c r="A29" s="75" t="s">
        <v>42</v>
      </c>
      <c r="B29" s="71" t="s">
        <v>49</v>
      </c>
      <c r="C29" s="72"/>
      <c r="D29" s="72" t="n">
        <v>78926.687</v>
      </c>
      <c r="E29" s="71" t="s">
        <v>123</v>
      </c>
      <c r="F29" s="72"/>
      <c r="G29" s="73"/>
    </row>
    <row r="30" customFormat="false" ht="15" hidden="false" customHeight="false" outlineLevel="0" collapsed="false">
      <c r="A30" s="75" t="s">
        <v>42</v>
      </c>
      <c r="B30" s="71" t="s">
        <v>50</v>
      </c>
      <c r="C30" s="72"/>
      <c r="D30" s="72" t="n">
        <v>20173.408</v>
      </c>
      <c r="E30" s="71" t="s">
        <v>123</v>
      </c>
      <c r="F30" s="72"/>
      <c r="G30" s="73"/>
    </row>
    <row r="31" customFormat="false" ht="15" hidden="false" customHeight="false" outlineLevel="0" collapsed="false">
      <c r="A31" s="75" t="s">
        <v>42</v>
      </c>
      <c r="B31" s="71" t="s">
        <v>51</v>
      </c>
      <c r="C31" s="72"/>
      <c r="D31" s="72" t="n">
        <v>177380.418</v>
      </c>
      <c r="E31" s="71" t="s">
        <v>123</v>
      </c>
      <c r="F31" s="72"/>
      <c r="G31" s="73"/>
    </row>
    <row r="32" customFormat="false" ht="15" hidden="false" customHeight="false" outlineLevel="0" collapsed="false">
      <c r="A32" s="75" t="s">
        <v>42</v>
      </c>
      <c r="B32" s="71" t="s">
        <v>52</v>
      </c>
      <c r="C32" s="72"/>
      <c r="D32" s="72" t="n">
        <v>24600.295</v>
      </c>
      <c r="E32" s="71" t="s">
        <v>123</v>
      </c>
      <c r="F32" s="72"/>
      <c r="G32" s="73"/>
    </row>
    <row r="33" customFormat="false" ht="15" hidden="false" customHeight="false" outlineLevel="0" collapsed="false">
      <c r="A33" s="76" t="s">
        <v>53</v>
      </c>
      <c r="B33" s="71" t="s">
        <v>54</v>
      </c>
      <c r="C33" s="72"/>
      <c r="D33" s="72" t="n">
        <v>53784.224</v>
      </c>
      <c r="E33" s="71" t="s">
        <v>123</v>
      </c>
      <c r="F33" s="72"/>
      <c r="G33" s="73"/>
    </row>
    <row r="34" customFormat="false" ht="15" hidden="false" customHeight="false" outlineLevel="0" collapsed="false">
      <c r="A34" s="76" t="s">
        <v>53</v>
      </c>
      <c r="B34" s="71" t="s">
        <v>55</v>
      </c>
      <c r="C34" s="72"/>
      <c r="D34" s="72" t="n">
        <v>19699.562</v>
      </c>
      <c r="E34" s="71" t="s">
        <v>123</v>
      </c>
      <c r="F34" s="72"/>
      <c r="G34" s="73"/>
    </row>
    <row r="35" customFormat="false" ht="15" hidden="false" customHeight="false" outlineLevel="0" collapsed="false">
      <c r="A35" s="76" t="s">
        <v>53</v>
      </c>
      <c r="B35" s="71" t="s">
        <v>56</v>
      </c>
      <c r="C35" s="72"/>
      <c r="D35" s="72" t="n">
        <v>115947.61</v>
      </c>
      <c r="E35" s="71" t="s">
        <v>123</v>
      </c>
      <c r="F35" s="72"/>
      <c r="G35" s="73"/>
    </row>
    <row r="36" customFormat="false" ht="15" hidden="false" customHeight="false" outlineLevel="0" collapsed="false">
      <c r="A36" s="76" t="s">
        <v>53</v>
      </c>
      <c r="B36" s="71" t="s">
        <v>57</v>
      </c>
      <c r="C36" s="72"/>
      <c r="D36" s="72" t="n">
        <v>58187.639</v>
      </c>
      <c r="E36" s="71" t="s">
        <v>123</v>
      </c>
      <c r="F36" s="72"/>
      <c r="G36" s="73"/>
    </row>
    <row r="37" customFormat="false" ht="15" hidden="false" customHeight="false" outlineLevel="0" collapsed="false">
      <c r="A37" s="76" t="s">
        <v>53</v>
      </c>
      <c r="B37" s="71" t="s">
        <v>58</v>
      </c>
      <c r="C37" s="72"/>
      <c r="D37" s="72" t="n">
        <v>143323.188</v>
      </c>
      <c r="E37" s="71" t="s">
        <v>123</v>
      </c>
      <c r="F37" s="72"/>
      <c r="G37" s="73"/>
    </row>
    <row r="38" customFormat="false" ht="15" hidden="false" customHeight="false" outlineLevel="0" collapsed="false">
      <c r="A38" s="76" t="s">
        <v>53</v>
      </c>
      <c r="B38" s="71" t="s">
        <v>59</v>
      </c>
      <c r="C38" s="72"/>
      <c r="D38" s="72" t="n">
        <v>46983.093</v>
      </c>
      <c r="E38" s="71" t="s">
        <v>123</v>
      </c>
      <c r="F38" s="72"/>
      <c r="G38" s="73"/>
    </row>
    <row r="39" customFormat="false" ht="15" hidden="false" customHeight="false" outlineLevel="0" collapsed="false">
      <c r="A39" s="76" t="s">
        <v>53</v>
      </c>
      <c r="B39" s="71" t="s">
        <v>60</v>
      </c>
      <c r="C39" s="72"/>
      <c r="D39" s="72" t="n">
        <v>86776.806</v>
      </c>
      <c r="E39" s="71" t="s">
        <v>123</v>
      </c>
      <c r="F39" s="72"/>
      <c r="G39" s="73"/>
    </row>
    <row r="40" customFormat="false" ht="15" hidden="false" customHeight="false" outlineLevel="0" collapsed="false">
      <c r="A40" s="76" t="s">
        <v>53</v>
      </c>
      <c r="B40" s="71" t="s">
        <v>61</v>
      </c>
      <c r="C40" s="72"/>
      <c r="D40" s="72" t="n">
        <v>25967.717</v>
      </c>
      <c r="E40" s="71" t="s">
        <v>123</v>
      </c>
      <c r="F40" s="72"/>
      <c r="G40" s="73"/>
    </row>
    <row r="41" customFormat="false" ht="15" hidden="false" customHeight="false" outlineLevel="0" collapsed="false">
      <c r="A41" s="76" t="s">
        <v>53</v>
      </c>
      <c r="B41" s="71" t="s">
        <v>62</v>
      </c>
      <c r="C41" s="72"/>
      <c r="D41" s="72" t="n">
        <v>181977.871</v>
      </c>
      <c r="E41" s="71" t="s">
        <v>123</v>
      </c>
      <c r="F41" s="72"/>
      <c r="G41" s="73"/>
    </row>
    <row r="42" customFormat="false" ht="15" hidden="false" customHeight="false" outlineLevel="0" collapsed="false">
      <c r="A42" s="76" t="s">
        <v>53</v>
      </c>
      <c r="B42" s="71" t="s">
        <v>63</v>
      </c>
      <c r="C42" s="72"/>
      <c r="D42" s="72" t="n">
        <v>29515.394</v>
      </c>
      <c r="E42" s="71" t="s">
        <v>123</v>
      </c>
      <c r="F42" s="72"/>
      <c r="G42" s="73"/>
    </row>
    <row r="43" customFormat="false" ht="15" hidden="false" customHeight="false" outlineLevel="0" collapsed="false">
      <c r="A43" s="77" t="s">
        <v>64</v>
      </c>
      <c r="B43" s="71" t="s">
        <v>65</v>
      </c>
      <c r="C43" s="72"/>
      <c r="D43" s="72" t="n">
        <v>60854.829</v>
      </c>
      <c r="E43" s="71" t="s">
        <v>123</v>
      </c>
      <c r="F43" s="72"/>
      <c r="G43" s="73"/>
    </row>
    <row r="44" customFormat="false" ht="15" hidden="false" customHeight="false" outlineLevel="0" collapsed="false">
      <c r="A44" s="77" t="s">
        <v>64</v>
      </c>
      <c r="B44" s="71" t="s">
        <v>66</v>
      </c>
      <c r="C44" s="72"/>
      <c r="D44" s="72" t="n">
        <v>24678.883</v>
      </c>
      <c r="E44" s="71" t="s">
        <v>123</v>
      </c>
      <c r="F44" s="72"/>
      <c r="G44" s="73"/>
    </row>
    <row r="45" customFormat="false" ht="15" hidden="false" customHeight="false" outlineLevel="0" collapsed="false">
      <c r="A45" s="77" t="s">
        <v>64</v>
      </c>
      <c r="B45" s="71" t="s">
        <v>67</v>
      </c>
      <c r="C45" s="72"/>
      <c r="D45" s="72" t="n">
        <v>125456.956</v>
      </c>
      <c r="E45" s="71" t="s">
        <v>123</v>
      </c>
      <c r="F45" s="72"/>
      <c r="G45" s="73"/>
    </row>
    <row r="46" customFormat="false" ht="15" hidden="false" customHeight="false" outlineLevel="0" collapsed="false">
      <c r="A46" s="77" t="s">
        <v>64</v>
      </c>
      <c r="B46" s="71" t="s">
        <v>68</v>
      </c>
      <c r="C46" s="72"/>
      <c r="D46" s="72" t="n">
        <v>64032.779</v>
      </c>
      <c r="E46" s="71" t="s">
        <v>123</v>
      </c>
      <c r="F46" s="72"/>
      <c r="G46" s="73"/>
    </row>
    <row r="47" customFormat="false" ht="15" hidden="false" customHeight="false" outlineLevel="0" collapsed="false">
      <c r="A47" s="77" t="s">
        <v>64</v>
      </c>
      <c r="B47" s="71" t="s">
        <v>69</v>
      </c>
      <c r="C47" s="72"/>
      <c r="D47" s="72" t="n">
        <v>151274.675</v>
      </c>
      <c r="E47" s="71" t="s">
        <v>123</v>
      </c>
      <c r="F47" s="72"/>
      <c r="G47" s="73"/>
    </row>
    <row r="48" customFormat="false" ht="15" hidden="false" customHeight="false" outlineLevel="0" collapsed="false">
      <c r="A48" s="77" t="s">
        <v>64</v>
      </c>
      <c r="B48" s="71" t="s">
        <v>70</v>
      </c>
      <c r="C48" s="72"/>
      <c r="D48" s="72" t="n">
        <v>65031.97</v>
      </c>
      <c r="E48" s="71" t="s">
        <v>123</v>
      </c>
      <c r="F48" s="72"/>
      <c r="G48" s="73"/>
    </row>
    <row r="49" customFormat="false" ht="15" hidden="false" customHeight="false" outlineLevel="0" collapsed="false">
      <c r="A49" s="77" t="s">
        <v>64</v>
      </c>
      <c r="B49" s="71" t="s">
        <v>71</v>
      </c>
      <c r="C49" s="72"/>
      <c r="D49" s="72" t="n">
        <v>94255.685</v>
      </c>
      <c r="E49" s="71" t="s">
        <v>123</v>
      </c>
      <c r="F49" s="72"/>
      <c r="G49" s="73"/>
    </row>
    <row r="50" customFormat="false" ht="15" hidden="false" customHeight="false" outlineLevel="0" collapsed="false">
      <c r="A50" s="77" t="s">
        <v>64</v>
      </c>
      <c r="B50" s="71" t="s">
        <v>72</v>
      </c>
      <c r="C50" s="72"/>
      <c r="D50" s="72" t="n">
        <v>32669.616</v>
      </c>
      <c r="E50" s="71" t="s">
        <v>123</v>
      </c>
      <c r="F50" s="72"/>
      <c r="G50" s="73"/>
    </row>
    <row r="51" customFormat="false" ht="15" hidden="false" customHeight="false" outlineLevel="0" collapsed="false">
      <c r="A51" s="77" t="s">
        <v>64</v>
      </c>
      <c r="B51" s="71" t="s">
        <v>73</v>
      </c>
      <c r="C51" s="72"/>
      <c r="D51" s="72" t="n">
        <v>191392.854</v>
      </c>
      <c r="E51" s="71" t="s">
        <v>123</v>
      </c>
      <c r="F51" s="72"/>
      <c r="G51" s="73"/>
    </row>
    <row r="52" customFormat="false" ht="15" hidden="false" customHeight="false" outlineLevel="0" collapsed="false">
      <c r="A52" s="77" t="s">
        <v>64</v>
      </c>
      <c r="B52" s="71" t="s">
        <v>74</v>
      </c>
      <c r="C52" s="72"/>
      <c r="D52" s="72" t="n">
        <v>36024.753</v>
      </c>
      <c r="E52" s="71" t="s">
        <v>123</v>
      </c>
      <c r="F52" s="72"/>
      <c r="G52" s="73"/>
    </row>
    <row r="54" customFormat="false" ht="15" hidden="false" customHeight="false" outlineLevel="0" collapsed="false">
      <c r="A54" s="78" t="s">
        <v>124</v>
      </c>
      <c r="B54" s="79" t="s">
        <v>125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9.5" hidden="false" customHeight="true" outlineLevel="0" collapsed="false">
      <c r="A1" s="80" t="s">
        <v>126</v>
      </c>
    </row>
    <row r="2" customFormat="false" ht="7.5" hidden="false" customHeight="true" outlineLevel="0" collapsed="false">
      <c r="A2" s="81"/>
    </row>
    <row r="3" customFormat="false" ht="19.5" hidden="false" customHeight="true" outlineLevel="0" collapsed="false">
      <c r="A3" s="82" t="s">
        <v>127</v>
      </c>
    </row>
    <row r="4" customFormat="false" ht="19.5" hidden="false" customHeight="true" outlineLevel="0" collapsed="false">
      <c r="A4" s="81" t="s">
        <v>128</v>
      </c>
    </row>
    <row r="5" customFormat="false" ht="19.5" hidden="false" customHeight="true" outlineLevel="0" collapsed="false">
      <c r="A5" s="81" t="s">
        <v>129</v>
      </c>
    </row>
    <row r="6" customFormat="false" ht="7.5" hidden="false" customHeight="true" outlineLevel="0" collapsed="false">
      <c r="A6" s="81"/>
    </row>
    <row r="7" customFormat="false" ht="19.5" hidden="false" customHeight="true" outlineLevel="0" collapsed="false">
      <c r="A7" s="82" t="s">
        <v>130</v>
      </c>
    </row>
    <row r="8" customFormat="false" ht="19.5" hidden="false" customHeight="true" outlineLevel="0" collapsed="false">
      <c r="A8" s="81" t="s">
        <v>131</v>
      </c>
    </row>
    <row r="9" customFormat="false" ht="19.5" hidden="false" customHeight="true" outlineLevel="0" collapsed="false">
      <c r="A9" s="81" t="s">
        <v>132</v>
      </c>
    </row>
    <row r="10" customFormat="false" ht="19.5" hidden="false" customHeight="true" outlineLevel="0" collapsed="false">
      <c r="A10" s="81" t="s">
        <v>133</v>
      </c>
    </row>
    <row r="11" customFormat="false" ht="19.5" hidden="false" customHeight="true" outlineLevel="0" collapsed="false">
      <c r="A11" s="81" t="s">
        <v>134</v>
      </c>
    </row>
    <row r="12" customFormat="false" ht="19.5" hidden="false" customHeight="true" outlineLevel="0" collapsed="false">
      <c r="A12" s="81" t="s">
        <v>135</v>
      </c>
    </row>
    <row r="13" customFormat="false" ht="7.5" hidden="false" customHeight="true" outlineLevel="0" collapsed="false">
      <c r="A13" s="81"/>
    </row>
    <row r="14" customFormat="false" ht="19.5" hidden="false" customHeight="true" outlineLevel="0" collapsed="false">
      <c r="A14" s="82" t="s">
        <v>136</v>
      </c>
    </row>
    <row r="15" customFormat="false" ht="19.5" hidden="false" customHeight="true" outlineLevel="0" collapsed="false">
      <c r="A15" s="81" t="s">
        <v>137</v>
      </c>
    </row>
    <row r="16" customFormat="false" ht="19.5" hidden="false" customHeight="true" outlineLevel="0" collapsed="false">
      <c r="A16" s="81" t="s">
        <v>138</v>
      </c>
    </row>
    <row r="17" customFormat="false" ht="19.5" hidden="false" customHeight="true" outlineLevel="0" collapsed="false">
      <c r="A17" s="81" t="s">
        <v>139</v>
      </c>
    </row>
    <row r="18" customFormat="false" ht="7.5" hidden="false" customHeight="true" outlineLevel="0" collapsed="false">
      <c r="A18" s="81"/>
    </row>
    <row r="19" customFormat="false" ht="19.5" hidden="false" customHeight="true" outlineLevel="0" collapsed="false">
      <c r="A19" s="82" t="s">
        <v>140</v>
      </c>
    </row>
    <row r="20" customFormat="false" ht="19.5" hidden="false" customHeight="true" outlineLevel="0" collapsed="false">
      <c r="A20" s="83" t="s">
        <v>141</v>
      </c>
    </row>
    <row r="21" customFormat="false" ht="19.5" hidden="false" customHeight="true" outlineLevel="0" collapsed="false">
      <c r="A21" s="84" t="s">
        <v>142</v>
      </c>
    </row>
    <row r="22" customFormat="false" ht="19.5" hidden="false" customHeight="true" outlineLevel="0" collapsed="false">
      <c r="A22" s="85" t="s">
        <v>143</v>
      </c>
    </row>
    <row r="23" customFormat="false" ht="19.5" hidden="false" customHeight="true" outlineLevel="0" collapsed="false">
      <c r="A23" s="86" t="s">
        <v>144</v>
      </c>
    </row>
    <row r="24" customFormat="false" ht="7.5" hidden="false" customHeight="true" outlineLevel="0" collapsed="false">
      <c r="A24" s="81"/>
    </row>
    <row r="25" customFormat="false" ht="19.5" hidden="false" customHeight="true" outlineLevel="0" collapsed="false">
      <c r="A25" s="82" t="s">
        <v>145</v>
      </c>
    </row>
    <row r="26" customFormat="false" ht="19.5" hidden="false" customHeight="true" outlineLevel="0" collapsed="false">
      <c r="A26" s="81" t="s">
        <v>146</v>
      </c>
    </row>
    <row r="27" customFormat="false" ht="19.5" hidden="false" customHeight="true" outlineLevel="0" collapsed="false">
      <c r="A27" s="81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2026-05-19T20:12:52Z</dcterms:created>
  <dc:creator>openpyxl</dc:creator>
  <dc:description/>
  <dc:language>en-US</dc:language>
  <cp:lastModifiedBy/>
  <dcterms:modified xsi:type="dcterms:W3CDTF">2026-05-19T20:12:52Z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
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0e53b9831d59b4ef/CORSAIR/GRASP_PathRelink_2024/"/>
    </mc:Choice>
  </mc:AlternateContent>
  <xr:revisionPtr revIDLastSave="21" documentId="11_FB816FA8955AB5358B81CFC3C5BA837C5B6C9A13" xr6:coauthVersionLast="47" xr6:coauthVersionMax="47" xr10:uidLastSave="{109FD904-7C3C-457C-9882-B3E770F744F0}"/>
  <bookViews>
    <workbookView xWindow="25605" yWindow="615" windowWidth="12960" windowHeight="13875" activeTab="1" xr2:uid="{00000000-000D-0000-FFFF-FFFF00000000}"/>
  </bookViews>
  <sheets>
    <sheet name="5X" sheetId="1" r:id="rId1"/>
    <sheet name="4x" sheetId="6" r:id="rId2"/>
    <sheet name="3x" sheetId="7" r:id="rId3"/>
    <sheet name="2x" sheetId="8" r:id="rId4"/>
    <sheet name="A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8" l="1"/>
  <c r="L42" i="8"/>
  <c r="K42" i="8"/>
  <c r="J42" i="8"/>
  <c r="I42" i="8"/>
  <c r="H42" i="8"/>
  <c r="G42" i="8"/>
  <c r="F42" i="8"/>
  <c r="E42" i="8"/>
  <c r="D42" i="8"/>
  <c r="M38" i="8"/>
  <c r="L38" i="8"/>
  <c r="K38" i="8"/>
  <c r="J38" i="8"/>
  <c r="I38" i="8"/>
  <c r="H38" i="8"/>
  <c r="G38" i="8"/>
  <c r="F38" i="8"/>
  <c r="E38" i="8"/>
  <c r="D38" i="8"/>
  <c r="M34" i="8"/>
  <c r="L34" i="8"/>
  <c r="K34" i="8"/>
  <c r="J34" i="8"/>
  <c r="I34" i="8"/>
  <c r="H34" i="8"/>
  <c r="G34" i="8"/>
  <c r="F34" i="8"/>
  <c r="O34" i="8" s="1"/>
  <c r="E34" i="8"/>
  <c r="D34" i="8"/>
  <c r="M30" i="8"/>
  <c r="L30" i="8"/>
  <c r="K30" i="8"/>
  <c r="J30" i="8"/>
  <c r="I30" i="8"/>
  <c r="H30" i="8"/>
  <c r="G30" i="8"/>
  <c r="F30" i="8"/>
  <c r="E30" i="8"/>
  <c r="D30" i="8"/>
  <c r="M26" i="8"/>
  <c r="L26" i="8"/>
  <c r="K26" i="8"/>
  <c r="J26" i="8"/>
  <c r="I26" i="8"/>
  <c r="H26" i="8"/>
  <c r="G26" i="8"/>
  <c r="F26" i="8"/>
  <c r="E26" i="8"/>
  <c r="D26" i="8"/>
  <c r="M22" i="8"/>
  <c r="L22" i="8"/>
  <c r="K22" i="8"/>
  <c r="J22" i="8"/>
  <c r="I22" i="8"/>
  <c r="H22" i="8"/>
  <c r="G22" i="8"/>
  <c r="F22" i="8"/>
  <c r="E22" i="8"/>
  <c r="D22" i="8"/>
  <c r="M18" i="8"/>
  <c r="L18" i="8"/>
  <c r="K18" i="8"/>
  <c r="J18" i="8"/>
  <c r="I18" i="8"/>
  <c r="H18" i="8"/>
  <c r="G18" i="8"/>
  <c r="F18" i="8"/>
  <c r="E18" i="8"/>
  <c r="D18" i="8"/>
  <c r="M14" i="8"/>
  <c r="L14" i="8"/>
  <c r="K14" i="8"/>
  <c r="J14" i="8"/>
  <c r="I14" i="8"/>
  <c r="H14" i="8"/>
  <c r="G14" i="8"/>
  <c r="F14" i="8"/>
  <c r="E14" i="8"/>
  <c r="D14" i="8"/>
  <c r="M10" i="8"/>
  <c r="L10" i="8"/>
  <c r="K10" i="8"/>
  <c r="J10" i="8"/>
  <c r="I10" i="8"/>
  <c r="H10" i="8"/>
  <c r="G10" i="8"/>
  <c r="F10" i="8"/>
  <c r="E10" i="8"/>
  <c r="D10" i="8"/>
  <c r="M6" i="8"/>
  <c r="L6" i="8"/>
  <c r="K6" i="8"/>
  <c r="J6" i="8"/>
  <c r="I6" i="8"/>
  <c r="H6" i="8"/>
  <c r="G6" i="8"/>
  <c r="F6" i="8"/>
  <c r="E6" i="8"/>
  <c r="D6" i="8"/>
  <c r="M42" i="7"/>
  <c r="L42" i="7"/>
  <c r="K42" i="7"/>
  <c r="J42" i="7"/>
  <c r="I42" i="7"/>
  <c r="H42" i="7"/>
  <c r="G42" i="7"/>
  <c r="F42" i="7"/>
  <c r="E42" i="7"/>
  <c r="D42" i="7"/>
  <c r="M38" i="7"/>
  <c r="L38" i="7"/>
  <c r="K38" i="7"/>
  <c r="J38" i="7"/>
  <c r="I38" i="7"/>
  <c r="H38" i="7"/>
  <c r="G38" i="7"/>
  <c r="F38" i="7"/>
  <c r="E38" i="7"/>
  <c r="D38" i="7"/>
  <c r="M34" i="7"/>
  <c r="L34" i="7"/>
  <c r="K34" i="7"/>
  <c r="J34" i="7"/>
  <c r="I34" i="7"/>
  <c r="H34" i="7"/>
  <c r="G34" i="7"/>
  <c r="F34" i="7"/>
  <c r="E34" i="7"/>
  <c r="D34" i="7"/>
  <c r="M30" i="7"/>
  <c r="L30" i="7"/>
  <c r="K30" i="7"/>
  <c r="J30" i="7"/>
  <c r="I30" i="7"/>
  <c r="H30" i="7"/>
  <c r="G30" i="7"/>
  <c r="F30" i="7"/>
  <c r="E30" i="7"/>
  <c r="D30" i="7"/>
  <c r="M26" i="7"/>
  <c r="L26" i="7"/>
  <c r="K26" i="7"/>
  <c r="J26" i="7"/>
  <c r="I26" i="7"/>
  <c r="H26" i="7"/>
  <c r="G26" i="7"/>
  <c r="F26" i="7"/>
  <c r="E26" i="7"/>
  <c r="D26" i="7"/>
  <c r="M22" i="7"/>
  <c r="L22" i="7"/>
  <c r="K22" i="7"/>
  <c r="J22" i="7"/>
  <c r="I22" i="7"/>
  <c r="H22" i="7"/>
  <c r="G22" i="7"/>
  <c r="F22" i="7"/>
  <c r="E22" i="7"/>
  <c r="D22" i="7"/>
  <c r="M18" i="7"/>
  <c r="L18" i="7"/>
  <c r="K18" i="7"/>
  <c r="J18" i="7"/>
  <c r="I18" i="7"/>
  <c r="H18" i="7"/>
  <c r="G18" i="7"/>
  <c r="F18" i="7"/>
  <c r="E18" i="7"/>
  <c r="D18" i="7"/>
  <c r="M14" i="7"/>
  <c r="L14" i="7"/>
  <c r="K14" i="7"/>
  <c r="J14" i="7"/>
  <c r="I14" i="7"/>
  <c r="H14" i="7"/>
  <c r="G14" i="7"/>
  <c r="F14" i="7"/>
  <c r="E14" i="7"/>
  <c r="D14" i="7"/>
  <c r="M10" i="7"/>
  <c r="L10" i="7"/>
  <c r="K10" i="7"/>
  <c r="J10" i="7"/>
  <c r="I10" i="7"/>
  <c r="H10" i="7"/>
  <c r="G10" i="7"/>
  <c r="F10" i="7"/>
  <c r="E10" i="7"/>
  <c r="D10" i="7"/>
  <c r="M6" i="7"/>
  <c r="L6" i="7"/>
  <c r="K6" i="7"/>
  <c r="J6" i="7"/>
  <c r="I6" i="7"/>
  <c r="H6" i="7"/>
  <c r="G6" i="7"/>
  <c r="F6" i="7"/>
  <c r="E6" i="7"/>
  <c r="D6" i="7"/>
  <c r="M42" i="6"/>
  <c r="L42" i="6"/>
  <c r="K42" i="6"/>
  <c r="J42" i="6"/>
  <c r="I42" i="6"/>
  <c r="H42" i="6"/>
  <c r="G42" i="6"/>
  <c r="F42" i="6"/>
  <c r="E42" i="6"/>
  <c r="D42" i="6"/>
  <c r="M38" i="6"/>
  <c r="L38" i="6"/>
  <c r="K38" i="6"/>
  <c r="J38" i="6"/>
  <c r="I38" i="6"/>
  <c r="H38" i="6"/>
  <c r="G38" i="6"/>
  <c r="F38" i="6"/>
  <c r="E38" i="6"/>
  <c r="D38" i="6"/>
  <c r="M34" i="6"/>
  <c r="L34" i="6"/>
  <c r="K34" i="6"/>
  <c r="J34" i="6"/>
  <c r="I34" i="6"/>
  <c r="H34" i="6"/>
  <c r="G34" i="6"/>
  <c r="F34" i="6"/>
  <c r="E34" i="6"/>
  <c r="D34" i="6"/>
  <c r="M30" i="6"/>
  <c r="L30" i="6"/>
  <c r="K30" i="6"/>
  <c r="J30" i="6"/>
  <c r="I30" i="6"/>
  <c r="H30" i="6"/>
  <c r="G30" i="6"/>
  <c r="F30" i="6"/>
  <c r="E30" i="6"/>
  <c r="D30" i="6"/>
  <c r="M26" i="6"/>
  <c r="L26" i="6"/>
  <c r="K26" i="6"/>
  <c r="J26" i="6"/>
  <c r="I26" i="6"/>
  <c r="H26" i="6"/>
  <c r="G26" i="6"/>
  <c r="F26" i="6"/>
  <c r="E26" i="6"/>
  <c r="D26" i="6"/>
  <c r="M22" i="6"/>
  <c r="L22" i="6"/>
  <c r="K22" i="6"/>
  <c r="J22" i="6"/>
  <c r="I22" i="6"/>
  <c r="H22" i="6"/>
  <c r="G22" i="6"/>
  <c r="F22" i="6"/>
  <c r="E22" i="6"/>
  <c r="D22" i="6"/>
  <c r="M18" i="6"/>
  <c r="L18" i="6"/>
  <c r="K18" i="6"/>
  <c r="J18" i="6"/>
  <c r="I18" i="6"/>
  <c r="H18" i="6"/>
  <c r="G18" i="6"/>
  <c r="F18" i="6"/>
  <c r="E18" i="6"/>
  <c r="D18" i="6"/>
  <c r="M14" i="6"/>
  <c r="L14" i="6"/>
  <c r="K14" i="6"/>
  <c r="J14" i="6"/>
  <c r="I14" i="6"/>
  <c r="H14" i="6"/>
  <c r="G14" i="6"/>
  <c r="F14" i="6"/>
  <c r="E14" i="6"/>
  <c r="D14" i="6"/>
  <c r="M10" i="6"/>
  <c r="L10" i="6"/>
  <c r="K10" i="6"/>
  <c r="J10" i="6"/>
  <c r="I10" i="6"/>
  <c r="H10" i="6"/>
  <c r="G10" i="6"/>
  <c r="F10" i="6"/>
  <c r="E10" i="6"/>
  <c r="D10" i="6"/>
  <c r="M6" i="6"/>
  <c r="L6" i="6"/>
  <c r="K6" i="6"/>
  <c r="J6" i="6"/>
  <c r="I6" i="6"/>
  <c r="H6" i="6"/>
  <c r="G6" i="6"/>
  <c r="F6" i="6"/>
  <c r="E6" i="6"/>
  <c r="D6" i="6"/>
  <c r="O30" i="8" l="1"/>
  <c r="O22" i="8"/>
  <c r="O10" i="8"/>
  <c r="O26" i="8"/>
  <c r="O38" i="8"/>
  <c r="O42" i="8"/>
  <c r="O14" i="8"/>
  <c r="O18" i="8"/>
  <c r="O26" i="7"/>
  <c r="O14" i="6"/>
  <c r="O12" i="6" s="1"/>
  <c r="O42" i="6"/>
  <c r="O40" i="6" s="1"/>
  <c r="O34" i="6"/>
  <c r="O33" i="6" s="1"/>
  <c r="O10" i="6"/>
  <c r="O9" i="6" s="1"/>
  <c r="O6" i="8"/>
  <c r="O6" i="7"/>
  <c r="O14" i="7"/>
  <c r="O30" i="7"/>
  <c r="O42" i="7"/>
  <c r="O34" i="7"/>
  <c r="O18" i="7"/>
  <c r="O10" i="7"/>
  <c r="O22" i="7"/>
  <c r="O38" i="7"/>
  <c r="O26" i="6"/>
  <c r="O18" i="6"/>
  <c r="O38" i="6"/>
  <c r="O30" i="6"/>
  <c r="O22" i="6"/>
  <c r="O6" i="6"/>
  <c r="D5" i="5"/>
  <c r="E13" i="5"/>
  <c r="F13" i="5"/>
  <c r="G13" i="5"/>
  <c r="H13" i="5"/>
  <c r="I13" i="5"/>
  <c r="J13" i="5"/>
  <c r="L13" i="5"/>
  <c r="M13" i="5"/>
  <c r="D13" i="5"/>
  <c r="E17" i="5"/>
  <c r="F17" i="5"/>
  <c r="G17" i="5"/>
  <c r="H17" i="5"/>
  <c r="I17" i="5"/>
  <c r="J17" i="5"/>
  <c r="L17" i="5"/>
  <c r="M17" i="5"/>
  <c r="D17" i="5"/>
  <c r="E21" i="5"/>
  <c r="F21" i="5"/>
  <c r="G21" i="5"/>
  <c r="H21" i="5"/>
  <c r="I21" i="5"/>
  <c r="J21" i="5"/>
  <c r="L21" i="5"/>
  <c r="M21" i="5"/>
  <c r="D21" i="5"/>
  <c r="O21" i="5" s="1"/>
  <c r="O19" i="5" s="1"/>
  <c r="E25" i="5"/>
  <c r="F25" i="5"/>
  <c r="G25" i="5"/>
  <c r="H25" i="5"/>
  <c r="I25" i="5"/>
  <c r="J25" i="5"/>
  <c r="L25" i="5"/>
  <c r="M25" i="5"/>
  <c r="D25" i="5"/>
  <c r="E29" i="5"/>
  <c r="F29" i="5"/>
  <c r="G29" i="5"/>
  <c r="H29" i="5"/>
  <c r="I29" i="5"/>
  <c r="J29" i="5"/>
  <c r="L29" i="5"/>
  <c r="M29" i="5"/>
  <c r="D29" i="5"/>
  <c r="E37" i="5"/>
  <c r="F37" i="5"/>
  <c r="G37" i="5"/>
  <c r="H37" i="5"/>
  <c r="I37" i="5"/>
  <c r="J37" i="5"/>
  <c r="L37" i="5"/>
  <c r="M37" i="5"/>
  <c r="D37" i="5"/>
  <c r="E41" i="5"/>
  <c r="F41" i="5"/>
  <c r="G41" i="5"/>
  <c r="H41" i="5"/>
  <c r="I41" i="5"/>
  <c r="J41" i="5"/>
  <c r="L41" i="5"/>
  <c r="M41" i="5"/>
  <c r="D41" i="5"/>
  <c r="E5" i="5"/>
  <c r="F5" i="5"/>
  <c r="G5" i="5"/>
  <c r="H5" i="5"/>
  <c r="I5" i="5"/>
  <c r="J5" i="5"/>
  <c r="L5" i="5"/>
  <c r="M5" i="5"/>
  <c r="E9" i="5"/>
  <c r="F9" i="5"/>
  <c r="G9" i="5"/>
  <c r="H9" i="5"/>
  <c r="I9" i="5"/>
  <c r="J9" i="5"/>
  <c r="L9" i="5"/>
  <c r="M9" i="5"/>
  <c r="D9" i="5"/>
  <c r="E33" i="5"/>
  <c r="D33" i="5"/>
  <c r="F33" i="5"/>
  <c r="G33" i="5"/>
  <c r="H33" i="5"/>
  <c r="I33" i="5"/>
  <c r="J33" i="5"/>
  <c r="L33" i="5"/>
  <c r="M33" i="5"/>
  <c r="O25" i="7" l="1"/>
  <c r="O24" i="7"/>
  <c r="O33" i="5"/>
  <c r="O31" i="5" s="1"/>
  <c r="O17" i="5"/>
  <c r="O15" i="5" s="1"/>
  <c r="O13" i="7"/>
  <c r="O12" i="7"/>
  <c r="O13" i="5"/>
  <c r="O11" i="5" s="1"/>
  <c r="O37" i="7"/>
  <c r="O36" i="7"/>
  <c r="O5" i="7"/>
  <c r="O4" i="7"/>
  <c r="O28" i="7"/>
  <c r="O29" i="7"/>
  <c r="O9" i="5"/>
  <c r="O7" i="5" s="1"/>
  <c r="O5" i="5"/>
  <c r="O3" i="5" s="1"/>
  <c r="R7" i="5" s="1"/>
  <c r="O21" i="7"/>
  <c r="O20" i="7"/>
  <c r="O41" i="5"/>
  <c r="O39" i="5" s="1"/>
  <c r="O9" i="7"/>
  <c r="O8" i="7"/>
  <c r="O37" i="5"/>
  <c r="O35" i="5" s="1"/>
  <c r="O16" i="7"/>
  <c r="O17" i="7"/>
  <c r="O29" i="5"/>
  <c r="O27" i="5" s="1"/>
  <c r="O33" i="7"/>
  <c r="O32" i="7"/>
  <c r="O25" i="5"/>
  <c r="O23" i="5" s="1"/>
  <c r="O41" i="7"/>
  <c r="O40" i="7"/>
  <c r="O13" i="6"/>
  <c r="O41" i="6"/>
  <c r="O32" i="6"/>
  <c r="O8" i="6"/>
  <c r="O25" i="6"/>
  <c r="O24" i="6"/>
  <c r="O17" i="6"/>
  <c r="O16" i="6"/>
  <c r="O36" i="6"/>
  <c r="O37" i="6"/>
  <c r="O29" i="6"/>
  <c r="O28" i="6"/>
  <c r="O20" i="6"/>
  <c r="O21" i="6"/>
  <c r="O5" i="6"/>
  <c r="O4" i="6"/>
  <c r="R9" i="7" l="1"/>
  <c r="R12" i="7"/>
  <c r="R9" i="6"/>
  <c r="R12" i="6"/>
  <c r="M6" i="1"/>
  <c r="E42" i="1"/>
  <c r="F42" i="1"/>
  <c r="G42" i="1"/>
  <c r="H42" i="1"/>
  <c r="I42" i="1"/>
  <c r="J42" i="1"/>
  <c r="K42" i="1"/>
  <c r="M42" i="1"/>
  <c r="D42" i="1"/>
  <c r="E38" i="1"/>
  <c r="F38" i="1"/>
  <c r="G38" i="1"/>
  <c r="H38" i="1"/>
  <c r="I38" i="1"/>
  <c r="J38" i="1"/>
  <c r="K38" i="1"/>
  <c r="M38" i="1"/>
  <c r="D38" i="1"/>
  <c r="E34" i="1"/>
  <c r="F34" i="1"/>
  <c r="G34" i="1"/>
  <c r="H34" i="1"/>
  <c r="I34" i="1"/>
  <c r="J34" i="1"/>
  <c r="K34" i="1"/>
  <c r="M34" i="1"/>
  <c r="D34" i="1"/>
  <c r="E30" i="1"/>
  <c r="F30" i="1"/>
  <c r="G30" i="1"/>
  <c r="H30" i="1"/>
  <c r="I30" i="1"/>
  <c r="J30" i="1"/>
  <c r="K30" i="1"/>
  <c r="M30" i="1"/>
  <c r="D30" i="1"/>
  <c r="O30" i="1" s="1"/>
  <c r="E26" i="1"/>
  <c r="F26" i="1"/>
  <c r="G26" i="1"/>
  <c r="H26" i="1"/>
  <c r="I26" i="1"/>
  <c r="J26" i="1"/>
  <c r="K26" i="1"/>
  <c r="M26" i="1"/>
  <c r="D26" i="1"/>
  <c r="E22" i="1"/>
  <c r="F22" i="1"/>
  <c r="G22" i="1"/>
  <c r="H22" i="1"/>
  <c r="I22" i="1"/>
  <c r="J22" i="1"/>
  <c r="K22" i="1"/>
  <c r="M22" i="1"/>
  <c r="D22" i="1"/>
  <c r="E18" i="1"/>
  <c r="F18" i="1"/>
  <c r="G18" i="1"/>
  <c r="H18" i="1"/>
  <c r="I18" i="1"/>
  <c r="J18" i="1"/>
  <c r="K18" i="1"/>
  <c r="M18" i="1"/>
  <c r="D18" i="1"/>
  <c r="E14" i="1"/>
  <c r="F14" i="1"/>
  <c r="G14" i="1"/>
  <c r="H14" i="1"/>
  <c r="I14" i="1"/>
  <c r="J14" i="1"/>
  <c r="K14" i="1"/>
  <c r="M14" i="1"/>
  <c r="D14" i="1"/>
  <c r="E10" i="1"/>
  <c r="F10" i="1"/>
  <c r="G10" i="1"/>
  <c r="H10" i="1"/>
  <c r="I10" i="1"/>
  <c r="J10" i="1"/>
  <c r="K10" i="1"/>
  <c r="M10" i="1"/>
  <c r="D10" i="1"/>
  <c r="E6" i="1"/>
  <c r="F6" i="1"/>
  <c r="G6" i="1"/>
  <c r="H6" i="1"/>
  <c r="I6" i="1"/>
  <c r="J6" i="1"/>
  <c r="K6" i="1"/>
  <c r="D6" i="1"/>
  <c r="O26" i="1" l="1"/>
  <c r="O25" i="1" s="1"/>
  <c r="O18" i="1"/>
  <c r="O17" i="1" s="1"/>
  <c r="O14" i="1"/>
  <c r="O13" i="1" s="1"/>
  <c r="O22" i="1"/>
  <c r="O38" i="1"/>
  <c r="O36" i="1" s="1"/>
  <c r="O10" i="1"/>
  <c r="O42" i="1"/>
  <c r="O41" i="1" s="1"/>
  <c r="O6" i="1"/>
  <c r="O34" i="1"/>
  <c r="O33" i="1" s="1"/>
  <c r="O24" i="1" l="1"/>
  <c r="O40" i="1"/>
  <c r="O16" i="1"/>
  <c r="O12" i="1"/>
  <c r="O21" i="1"/>
  <c r="O20" i="1"/>
  <c r="O5" i="1"/>
  <c r="O4" i="1"/>
  <c r="O29" i="1"/>
  <c r="O28" i="1"/>
  <c r="O37" i="1"/>
  <c r="O8" i="1"/>
  <c r="O9" i="1"/>
  <c r="O32" i="1"/>
  <c r="S12" i="1" l="1"/>
  <c r="S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Beto</author>
  </authors>
  <commentList>
    <comment ref="P3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Beto:</t>
        </r>
        <r>
          <rPr>
            <sz val="9"/>
            <color indexed="81"/>
            <rFont val="Segoe UI"/>
            <family val="2"/>
          </rPr>
          <t xml:space="preserve">
Limitado a 5 minutos de execução</t>
        </r>
      </text>
    </comment>
    <comment ref="Q3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Beto:</t>
        </r>
        <r>
          <rPr>
            <sz val="9"/>
            <color indexed="81"/>
            <rFont val="Segoe UI"/>
            <family val="2"/>
          </rPr>
          <t xml:space="preserve">
Limitado a 1 hora de execução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Beto</author>
  </authors>
  <commentList>
    <comment ref="Q3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Beto:</t>
        </r>
        <r>
          <rPr>
            <sz val="9"/>
            <color indexed="81"/>
            <rFont val="Segoe UI"/>
            <family val="2"/>
          </rPr>
          <t xml:space="preserve">
Limitado a 1 hora de execução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Beto</author>
  </authors>
  <commentList>
    <comment ref="Q3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Beto:</t>
        </r>
        <r>
          <rPr>
            <sz val="9"/>
            <color indexed="81"/>
            <rFont val="Segoe UI"/>
            <family val="2"/>
          </rPr>
          <t xml:space="preserve">
Limitado a 1 hora de execução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Beto</author>
  </authors>
  <commentList>
    <comment ref="Q3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Beto:</t>
        </r>
        <r>
          <rPr>
            <sz val="9"/>
            <color indexed="81"/>
            <rFont val="Segoe UI"/>
            <family val="2"/>
          </rPr>
          <t xml:space="preserve">
Limitado a 1 hora de execução</t>
        </r>
      </text>
    </comment>
  </commentList>
</comments>
</file>

<file path=xl/sharedStrings.xml><?xml version="1.0" encoding="utf-8"?>
<sst xmlns="http://schemas.openxmlformats.org/spreadsheetml/2006/main" count="373" uniqueCount="31">
  <si>
    <t>5x</t>
  </si>
  <si>
    <t>Falta</t>
  </si>
  <si>
    <t>Estoque</t>
  </si>
  <si>
    <t>Tempo</t>
  </si>
  <si>
    <t>Avaliação</t>
  </si>
  <si>
    <t>PARÂMETROS</t>
  </si>
  <si>
    <t>INFLUÊNCIA DO ESTOQUE</t>
  </si>
  <si>
    <t>MELHOR</t>
  </si>
  <si>
    <t>CPLEX 12</t>
  </si>
  <si>
    <t>1h</t>
  </si>
  <si>
    <t>5 min</t>
  </si>
  <si>
    <t>Aleatorias</t>
  </si>
  <si>
    <t>mais</t>
  </si>
  <si>
    <t>z</t>
  </si>
  <si>
    <t>a1</t>
  </si>
  <si>
    <t>z1</t>
  </si>
  <si>
    <t>mais2</t>
  </si>
  <si>
    <t>4x</t>
  </si>
  <si>
    <t>3x</t>
  </si>
  <si>
    <t>2x</t>
  </si>
  <si>
    <t>?</t>
  </si>
  <si>
    <t>gap 1h</t>
  </si>
  <si>
    <t>gap 5min</t>
  </si>
  <si>
    <t>nome instancia</t>
  </si>
  <si>
    <t>gap médio</t>
  </si>
  <si>
    <t>PARÂMETRO</t>
  </si>
  <si>
    <t>gap médio 5 minutos</t>
  </si>
  <si>
    <t>gap médio 1 hora</t>
  </si>
  <si>
    <t>Em média, cada rodada leva 5 min, a melhor de dez rodadas é escolhida</t>
  </si>
  <si>
    <t>É importante ver a média das soluções e odesvio padrão?</t>
  </si>
  <si>
    <t>Aditivar o grasp com a busca local 2 e 3 para 3600 seg?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</si>
</sst>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C6C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1F95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7"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0" fillId="0" borderId="1" xfId="0" applyBorder="1" applyAlignment="1">
      <alignment horizontal="center"/>
    </xf>
    <xf numFmtId="0" fontId="0" fillId="2" borderId="6" xfId="0" applyFill="1" applyBorder="1"/>
    <xf numFmtId="0" fontId="0" fillId="2" borderId="3" xfId="0" applyFill="1" applyBorder="1"/>
    <xf numFmtId="0" fontId="0" fillId="2" borderId="11" xfId="0" applyFill="1" applyBorder="1"/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1" fillId="0" borderId="6" xfId="0" applyFont="1" applyBorder="1"/>
    <xf numFmtId="0" fontId="1" fillId="2" borderId="6" xfId="0" applyFont="1" applyFill="1" applyBorder="1"/>
    <xf numFmtId="3" fontId="1" fillId="0" borderId="3" xfId="0" applyNumberFormat="1" applyFont="1" applyBorder="1"/>
    <xf numFmtId="1" fontId="1" fillId="2" borderId="3" xfId="0" applyNumberFormat="1" applyFont="1" applyFill="1" applyBorder="1"/>
    <xf numFmtId="1" fontId="1" fillId="0" borderId="3" xfId="0" applyNumberFormat="1" applyFont="1" applyBorder="1"/>
    <xf numFmtId="3" fontId="0" fillId="0" borderId="10" xfId="0" applyNumberFormat="1" applyBorder="1"/>
    <xf numFmtId="3" fontId="0" fillId="2" borderId="10" xfId="0" applyNumberFormat="1" applyFill="1" applyBorder="1"/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/>
    <xf numFmtId="0" fontId="0" fillId="2" borderId="5" xfId="0" applyFill="1" applyBorder="1"/>
    <xf numFmtId="0" fontId="0" fillId="2" borderId="13" xfId="0" applyFill="1" applyBorder="1"/>
    <xf numFmtId="3" fontId="0" fillId="2" borderId="13" xfId="0" applyNumberFormat="1" applyFill="1" applyBorder="1"/>
    <xf numFmtId="0" fontId="0" fillId="3" borderId="0" xfId="0" applyFill="1" applyAlignment="1">
      <alignment horizontal="center"/>
    </xf>
    <xf numFmtId="3" fontId="0" fillId="0" borderId="3" xfId="0" applyNumberFormat="1" applyBorder="1"/>
    <xf numFmtId="3" fontId="0" fillId="2" borderId="3" xfId="0" applyNumberFormat="1" applyFill="1" applyBorder="1"/>
    <xf numFmtId="3" fontId="0" fillId="2" borderId="5" xfId="0" applyNumberFormat="1" applyFill="1" applyBorder="1"/>
    <xf numFmtId="3" fontId="0" fillId="0" borderId="9" xfId="0" applyNumberFormat="1" applyBorder="1"/>
    <xf numFmtId="3" fontId="0" fillId="2" borderId="9" xfId="0" applyNumberFormat="1" applyFill="1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1" fontId="1" fillId="8" borderId="3" xfId="0" applyNumberFormat="1" applyFont="1" applyFill="1" applyBorder="1"/>
    <xf numFmtId="0" fontId="0" fillId="11" borderId="0" xfId="0" applyFill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7" borderId="1" xfId="0" applyFill="1" applyBorder="1"/>
    <xf numFmtId="0" fontId="0" fillId="2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0" borderId="12" xfId="0" applyNumberFormat="1" applyBorder="1"/>
    <xf numFmtId="164" fontId="0" fillId="0" borderId="11" xfId="0" applyNumberFormat="1" applyBorder="1"/>
    <xf numFmtId="0" fontId="5" fillId="0" borderId="11" xfId="0" applyFont="1" applyBorder="1"/>
    <xf numFmtId="0" fontId="0" fillId="0" borderId="2" xfId="0" applyBorder="1"/>
    <xf numFmtId="3" fontId="1" fillId="0" borderId="0" xfId="0" applyNumberFormat="1" applyFont="1"/>
    <xf numFmtId="0" fontId="0" fillId="4" borderId="14" xfId="0" applyFill="1" applyBorder="1"/>
    <xf numFmtId="0" fontId="5" fillId="0" borderId="17" xfId="0" applyFont="1" applyBorder="1" applyAlignment="1">
      <alignment horizontal="right"/>
    </xf>
    <xf numFmtId="164" fontId="0" fillId="0" borderId="18" xfId="0" applyNumberFormat="1" applyBorder="1"/>
    <xf numFmtId="0" fontId="5" fillId="0" borderId="2" xfId="0" applyFont="1" applyBorder="1" applyAlignment="1">
      <alignment horizontal="right"/>
    </xf>
    <xf numFmtId="164" fontId="0" fillId="0" borderId="3" xfId="0" applyNumberFormat="1" applyBorder="1"/>
    <xf numFmtId="3" fontId="1" fillId="0" borderId="2" xfId="0" applyNumberFormat="1" applyFont="1" applyBorder="1"/>
    <xf numFmtId="0" fontId="0" fillId="0" borderId="14" xfId="0" applyBorder="1"/>
    <xf numFmtId="0" fontId="5" fillId="2" borderId="2" xfId="0" applyFont="1" applyFill="1" applyBorder="1" applyAlignment="1">
      <alignment horizontal="right"/>
    </xf>
    <xf numFmtId="3" fontId="1" fillId="2" borderId="2" xfId="0" applyNumberFormat="1" applyFont="1" applyFill="1" applyBorder="1"/>
    <xf numFmtId="0" fontId="0" fillId="2" borderId="14" xfId="0" applyFill="1" applyBorder="1"/>
    <xf numFmtId="0" fontId="0" fillId="2" borderId="2" xfId="0" applyFill="1" applyBorder="1"/>
    <xf numFmtId="1" fontId="1" fillId="2" borderId="0" xfId="0" applyNumberFormat="1" applyFont="1" applyFill="1"/>
    <xf numFmtId="0" fontId="5" fillId="2" borderId="15" xfId="0" applyFont="1" applyFill="1" applyBorder="1" applyAlignment="1">
      <alignment horizontal="right"/>
    </xf>
    <xf numFmtId="3" fontId="0" fillId="2" borderId="19" xfId="0" applyNumberFormat="1" applyFill="1" applyBorder="1"/>
    <xf numFmtId="1" fontId="1" fillId="0" borderId="0" xfId="0" applyNumberFormat="1" applyFont="1"/>
    <xf numFmtId="0" fontId="0" fillId="2" borderId="4" xfId="0" applyFill="1" applyBorder="1"/>
    <xf numFmtId="0" fontId="5" fillId="0" borderId="15" xfId="0" applyFont="1" applyBorder="1" applyAlignment="1">
      <alignment horizontal="right"/>
    </xf>
    <xf numFmtId="9" fontId="0" fillId="2" borderId="19" xfId="1" applyFont="1" applyFill="1" applyBorder="1"/>
    <xf numFmtId="9" fontId="0" fillId="2" borderId="3" xfId="1" applyFont="1" applyFill="1" applyBorder="1"/>
    <xf numFmtId="9" fontId="0" fillId="0" borderId="19" xfId="1" applyFont="1" applyFill="1" applyBorder="1"/>
    <xf numFmtId="9" fontId="0" fillId="0" borderId="3" xfId="1" applyFont="1" applyFill="1" applyBorder="1"/>
    <xf numFmtId="3" fontId="1" fillId="8" borderId="3" xfId="0" applyNumberFormat="1" applyFont="1" applyFill="1" applyBorder="1"/>
    <xf numFmtId="3" fontId="5" fillId="0" borderId="3" xfId="0" applyNumberFormat="1" applyFont="1" applyBorder="1"/>
    <xf numFmtId="3" fontId="5" fillId="2" borderId="3" xfId="0" applyNumberFormat="1" applyFont="1" applyFill="1" applyBorder="1"/>
    <xf numFmtId="0" fontId="5" fillId="0" borderId="10" xfId="0" applyFont="1" applyBorder="1"/>
    <xf numFmtId="0" fontId="5" fillId="2" borderId="11" xfId="0" applyFont="1" applyFill="1" applyBorder="1"/>
    <xf numFmtId="0" fontId="5" fillId="2" borderId="10" xfId="0" applyFont="1" applyFill="1" applyBorder="1"/>
    <xf numFmtId="0" fontId="0" fillId="0" borderId="21" xfId="0" applyBorder="1"/>
    <xf numFmtId="0" fontId="0" fillId="0" borderId="22" xfId="0" applyBorder="1"/>
    <xf numFmtId="0" fontId="0" fillId="2" borderId="23" xfId="0" applyFill="1" applyBorder="1"/>
    <xf numFmtId="0" fontId="0" fillId="2" borderId="22" xfId="0" applyFill="1" applyBorder="1"/>
    <xf numFmtId="1" fontId="1" fillId="2" borderId="22" xfId="0" applyNumberFormat="1" applyFont="1" applyFill="1" applyBorder="1"/>
    <xf numFmtId="0" fontId="0" fillId="2" borderId="24" xfId="0" applyFill="1" applyBorder="1"/>
    <xf numFmtId="0" fontId="0" fillId="0" borderId="23" xfId="0" applyBorder="1"/>
    <xf numFmtId="0" fontId="5" fillId="0" borderId="17" xfId="0" applyFont="1" applyBorder="1"/>
    <xf numFmtId="0" fontId="5" fillId="0" borderId="2" xfId="0" applyFont="1" applyBorder="1"/>
    <xf numFmtId="3" fontId="5" fillId="0" borderId="2" xfId="0" applyNumberFormat="1" applyFont="1" applyBorder="1"/>
    <xf numFmtId="0" fontId="5" fillId="2" borderId="2" xfId="0" applyFont="1" applyFill="1" applyBorder="1"/>
    <xf numFmtId="9" fontId="0" fillId="2" borderId="3" xfId="0" applyNumberFormat="1" applyFill="1" applyBorder="1"/>
    <xf numFmtId="3" fontId="5" fillId="2" borderId="2" xfId="0" applyNumberFormat="1" applyFont="1" applyFill="1" applyBorder="1"/>
    <xf numFmtId="9" fontId="0" fillId="0" borderId="3" xfId="0" applyNumberFormat="1" applyBorder="1"/>
    <xf numFmtId="0" fontId="5" fillId="2" borderId="4" xfId="0" applyFont="1" applyFill="1" applyBorder="1"/>
    <xf numFmtId="0" fontId="5" fillId="2" borderId="15" xfId="0" applyFont="1" applyFill="1" applyBorder="1"/>
    <xf numFmtId="0" fontId="5" fillId="2" borderId="14" xfId="0" applyFont="1" applyFill="1" applyBorder="1"/>
    <xf numFmtId="0" fontId="5" fillId="0" borderId="15" xfId="0" applyFont="1" applyBorder="1"/>
    <xf numFmtId="0" fontId="5" fillId="0" borderId="14" xfId="0" applyFont="1" applyBorder="1"/>
    <xf numFmtId="0" fontId="0" fillId="0" borderId="18" xfId="0" applyBorder="1"/>
    <xf numFmtId="0" fontId="0" fillId="2" borderId="19" xfId="0" applyFill="1" applyBorder="1"/>
    <xf numFmtId="164" fontId="0" fillId="2" borderId="3" xfId="0" applyNumberFormat="1" applyFill="1" applyBorder="1"/>
    <xf numFmtId="164" fontId="0" fillId="0" borderId="19" xfId="0" applyNumberFormat="1" applyBorder="1"/>
    <xf numFmtId="164" fontId="0" fillId="2" borderId="19" xfId="0" applyNumberFormat="1" applyFill="1" applyBorder="1"/>
    <xf numFmtId="3" fontId="0" fillId="5" borderId="9" xfId="0" applyNumberFormat="1" applyFill="1" applyBorder="1"/>
    <xf numFmtId="164" fontId="0" fillId="5" borderId="13" xfId="0" applyNumberFormat="1" applyFill="1" applyBorder="1" applyAlignment="1">
      <alignment horizontal="center"/>
    </xf>
    <xf numFmtId="0" fontId="6" fillId="0" borderId="11" xfId="0" applyFont="1" applyBorder="1"/>
    <xf numFmtId="0" fontId="6" fillId="2" borderId="11" xfId="0" applyFont="1" applyFill="1" applyBorder="1"/>
    <xf numFmtId="0" fontId="7" fillId="7" borderId="1" xfId="0" applyFont="1" applyFill="1" applyBorder="1"/>
    <xf numFmtId="0" fontId="7" fillId="0" borderId="1" xfId="0" applyFont="1" applyBorder="1" applyAlignment="1">
      <alignment horizontal="center"/>
    </xf>
    <xf numFmtId="0" fontId="7" fillId="2" borderId="11" xfId="0" applyFont="1" applyFill="1" applyBorder="1"/>
    <xf numFmtId="1" fontId="8" fillId="2" borderId="3" xfId="0" applyNumberFormat="1" applyFont="1" applyFill="1" applyBorder="1"/>
    <xf numFmtId="0" fontId="7" fillId="2" borderId="10" xfId="0" applyFont="1" applyFill="1" applyBorder="1"/>
    <xf numFmtId="0" fontId="7" fillId="0" borderId="0" xfId="0" applyFont="1"/>
    <xf numFmtId="164" fontId="0" fillId="2" borderId="3" xfId="1" applyNumberFormat="1" applyFont="1" applyFill="1" applyBorder="1"/>
    <xf numFmtId="0" fontId="9" fillId="2" borderId="11" xfId="0" applyFont="1" applyFill="1" applyBorder="1"/>
    <xf numFmtId="1" fontId="10" fillId="2" borderId="3" xfId="0" applyNumberFormat="1" applyFont="1" applyFill="1" applyBorder="1"/>
    <xf numFmtId="0" fontId="9" fillId="2" borderId="10" xfId="0" applyFont="1" applyFill="1" applyBorder="1"/>
    <xf numFmtId="0" fontId="11" fillId="0" borderId="11" xfId="0" applyFont="1" applyBorder="1"/>
    <xf numFmtId="3" fontId="12" fillId="0" borderId="3" xfId="0" applyNumberFormat="1" applyFont="1" applyBorder="1"/>
    <xf numFmtId="0" fontId="11" fillId="0" borderId="10" xfId="0" applyFont="1" applyBorder="1"/>
    <xf numFmtId="0" fontId="11" fillId="2" borderId="11" xfId="0" applyFont="1" applyFill="1" applyBorder="1"/>
    <xf numFmtId="1" fontId="12" fillId="2" borderId="3" xfId="0" applyNumberFormat="1" applyFont="1" applyFill="1" applyBorder="1"/>
    <xf numFmtId="0" fontId="11" fillId="2" borderId="10" xfId="0" applyFont="1" applyFill="1" applyBorder="1"/>
    <xf numFmtId="1" fontId="12" fillId="0" borderId="3" xfId="0" applyNumberFormat="1" applyFont="1" applyBorder="1"/>
    <xf numFmtId="0" fontId="9" fillId="0" borderId="11" xfId="0" applyFont="1" applyBorder="1"/>
    <xf numFmtId="3" fontId="10" fillId="0" borderId="3" xfId="0" applyNumberFormat="1" applyFont="1" applyBorder="1"/>
    <xf numFmtId="0" fontId="9" fillId="0" borderId="10" xfId="0" applyFont="1" applyBorder="1"/>
    <xf numFmtId="1" fontId="10" fillId="0" borderId="3" xfId="0" applyNumberFormat="1" applyFont="1" applyBorder="1"/>
    <xf numFmtId="0" fontId="9" fillId="2" borderId="13" xfId="0" applyFont="1" applyFill="1" applyBorder="1"/>
    <xf numFmtId="0" fontId="13" fillId="0" borderId="11" xfId="0" applyFont="1" applyBorder="1"/>
    <xf numFmtId="1" fontId="14" fillId="0" borderId="3" xfId="0" applyNumberFormat="1" applyFont="1" applyBorder="1"/>
    <xf numFmtId="0" fontId="13" fillId="0" borderId="10" xfId="0" applyFont="1" applyBorder="1"/>
    <xf numFmtId="3" fontId="14" fillId="0" borderId="3" xfId="0" applyNumberFormat="1" applyFont="1" applyBorder="1"/>
    <xf numFmtId="0" fontId="13" fillId="2" borderId="11" xfId="0" applyFont="1" applyFill="1" applyBorder="1"/>
    <xf numFmtId="1" fontId="14" fillId="2" borderId="3" xfId="0" applyNumberFormat="1" applyFont="1" applyFill="1" applyBorder="1"/>
    <xf numFmtId="0" fontId="13" fillId="2" borderId="10" xfId="0" applyFont="1" applyFill="1" applyBorder="1"/>
    <xf numFmtId="0" fontId="13" fillId="2" borderId="2" xfId="0" applyFont="1" applyFill="1" applyBorder="1"/>
    <xf numFmtId="1" fontId="14" fillId="2" borderId="0" xfId="0" applyNumberFormat="1" applyFont="1" applyFill="1"/>
    <xf numFmtId="0" fontId="13" fillId="2" borderId="14" xfId="0" applyFont="1" applyFill="1" applyBorder="1"/>
    <xf numFmtId="0" fontId="13" fillId="2" borderId="3" xfId="0" applyFont="1" applyFill="1" applyBorder="1"/>
    <xf numFmtId="0" fontId="13" fillId="2" borderId="9" xfId="0" applyFont="1" applyFill="1" applyBorder="1"/>
    <xf numFmtId="0" fontId="13" fillId="0" borderId="2" xfId="0" applyFont="1" applyBorder="1"/>
    <xf numFmtId="1" fontId="14" fillId="0" borderId="0" xfId="0" applyNumberFormat="1" applyFont="1"/>
    <xf numFmtId="0" fontId="13" fillId="0" borderId="14" xfId="0" applyFont="1" applyBorder="1"/>
    <xf numFmtId="0" fontId="13" fillId="2" borderId="4" xfId="0" applyFont="1" applyFill="1" applyBorder="1"/>
    <xf numFmtId="0" fontId="13" fillId="2" borderId="13" xfId="0" applyFont="1" applyFill="1" applyBorder="1"/>
    <xf numFmtId="164" fontId="0" fillId="6" borderId="13" xfId="0" applyNumberFormat="1" applyFill="1" applyBorder="1" applyAlignment="1">
      <alignment horizontal="center"/>
    </xf>
    <xf numFmtId="164" fontId="0" fillId="7" borderId="13" xfId="0" applyNumberFormat="1" applyFill="1" applyBorder="1" applyAlignment="1">
      <alignment horizontal="center"/>
    </xf>
    <xf numFmtId="164" fontId="0" fillId="2" borderId="11" xfId="0" applyNumberFormat="1" applyFill="1" applyBorder="1"/>
    <xf numFmtId="1" fontId="1" fillId="13" borderId="3" xfId="0" applyNumberFormat="1" applyFont="1" applyFill="1" applyBorder="1"/>
    <xf numFmtId="0" fontId="1" fillId="3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55"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b val="0"/>
        <i/>
        <color theme="9" tint="0.59996337778862885"/>
      </font>
    </dxf>
    <dxf>
      <font>
        <b val="0"/>
        <i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color theme="9" tint="0.59996337778862885"/>
      </font>
    </dxf>
    <dxf>
      <font>
        <b val="0"/>
        <i/>
        <color theme="9" tint="0.59996337778862885"/>
      </font>
    </dxf>
    <dxf>
      <font>
        <b val="0"/>
        <i/>
        <strike val="0"/>
        <color theme="9" tint="0.59996337778862885"/>
      </font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color rgb="FF00B0F0"/>
      </font>
      <fill>
        <patternFill>
          <bgColor theme="2" tint="-0.499984740745262"/>
        </patternFill>
      </fill>
    </dxf>
    <dxf>
      <font>
        <b val="0"/>
        <i/>
        <color theme="9" tint="0.59996337778862885"/>
      </font>
    </dxf>
    <dxf>
      <font>
        <b val="0"/>
        <i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  <dxf>
      <font>
        <b val="0"/>
        <i/>
        <strike val="0"/>
        <color theme="9" tint="0.59996337778862885"/>
      </font>
    </dxf>
  </dxfs>
  <tableStyles count="0" defaultTableStyle="TableStyleMedium2" defaultPivotStyle="PivotStyleLight16"/>
  <colors>
    <mruColors>
      <color rgb="FF81F951"/>
      <color rgb="FFFEC6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47"/>
  <sheetViews>
    <sheetView topLeftCell="A7" workbookViewId="0">
      <selection activeCell="S14" sqref="S14"/>
    </sheetView>
  </sheetViews>
  <sheetFormatPr defaultRowHeight="15" x14ac:dyDescent="0.25"/>
  <cols>
    <col min="1" max="1" width="1.42578125" customWidth="1"/>
    <col min="2" max="2" width="3.5703125" customWidth="1"/>
    <col min="3" max="3" width="11" customWidth="1"/>
    <col min="4" max="4" width="11" bestFit="1" customWidth="1"/>
    <col min="6" max="6" width="9.140625" style="125"/>
    <col min="14" max="14" width="9.42578125" customWidth="1"/>
    <col min="15" max="15" width="10.140625" bestFit="1" customWidth="1"/>
    <col min="18" max="18" width="3.7109375" customWidth="1"/>
    <col min="19" max="19" width="23.7109375" customWidth="1"/>
  </cols>
  <sheetData>
    <row r="2" spans="2:19" x14ac:dyDescent="0.25">
      <c r="B2" s="164" t="s">
        <v>23</v>
      </c>
      <c r="C2" s="164"/>
      <c r="D2" s="56"/>
      <c r="E2" s="56"/>
      <c r="F2" s="120"/>
      <c r="G2" s="56"/>
      <c r="H2" s="56"/>
      <c r="I2" s="56"/>
      <c r="J2" s="56"/>
      <c r="K2" s="56"/>
      <c r="L2" s="56"/>
      <c r="M2" s="56"/>
      <c r="P2" s="39" t="s">
        <v>10</v>
      </c>
      <c r="Q2" s="39" t="s">
        <v>9</v>
      </c>
    </row>
    <row r="3" spans="2:19" x14ac:dyDescent="0.25">
      <c r="B3" s="163" t="s">
        <v>0</v>
      </c>
      <c r="C3" s="163"/>
      <c r="D3" s="7">
        <v>1</v>
      </c>
      <c r="E3" s="7">
        <v>2</v>
      </c>
      <c r="F3" s="121">
        <v>3</v>
      </c>
      <c r="G3" s="7">
        <v>4</v>
      </c>
      <c r="H3" s="7">
        <v>5</v>
      </c>
      <c r="I3" s="7">
        <v>6</v>
      </c>
      <c r="J3" s="7">
        <v>7</v>
      </c>
      <c r="K3" s="7">
        <v>8</v>
      </c>
      <c r="L3" s="7">
        <v>9</v>
      </c>
      <c r="M3" s="7">
        <v>10</v>
      </c>
      <c r="N3" s="165" t="s">
        <v>7</v>
      </c>
      <c r="O3" s="166"/>
      <c r="P3" s="7" t="s">
        <v>8</v>
      </c>
      <c r="Q3" s="38" t="s">
        <v>8</v>
      </c>
      <c r="S3" s="32" t="s">
        <v>5</v>
      </c>
    </row>
    <row r="4" spans="2:19" x14ac:dyDescent="0.25">
      <c r="B4" s="21">
        <v>1</v>
      </c>
      <c r="C4" s="2" t="s">
        <v>1</v>
      </c>
      <c r="D4" s="1">
        <v>56859</v>
      </c>
      <c r="E4" s="5">
        <v>56125</v>
      </c>
      <c r="F4" s="137">
        <v>34867</v>
      </c>
      <c r="G4" s="130">
        <v>39509</v>
      </c>
      <c r="H4" s="5">
        <v>56096</v>
      </c>
      <c r="I4" s="142">
        <v>36920</v>
      </c>
      <c r="J4" s="5">
        <v>59598</v>
      </c>
      <c r="K4" s="5">
        <v>59212</v>
      </c>
      <c r="L4" s="5"/>
      <c r="M4" s="63">
        <v>41332</v>
      </c>
      <c r="N4" s="66" t="s">
        <v>22</v>
      </c>
      <c r="O4" s="67">
        <f>(O6-P6)/P6</f>
        <v>-1.1313866790339239E-2</v>
      </c>
      <c r="P4" s="1"/>
      <c r="Q4" s="1"/>
      <c r="S4" s="46" t="s">
        <v>6</v>
      </c>
    </row>
    <row r="5" spans="2:19" x14ac:dyDescent="0.25">
      <c r="B5" s="21"/>
      <c r="C5" s="2" t="s">
        <v>2</v>
      </c>
      <c r="D5" s="1">
        <v>25167839</v>
      </c>
      <c r="E5" s="5">
        <v>22226405</v>
      </c>
      <c r="F5" s="137">
        <v>20560722</v>
      </c>
      <c r="G5" s="130">
        <v>22197239</v>
      </c>
      <c r="H5" s="5">
        <v>24210651</v>
      </c>
      <c r="I5" s="142">
        <v>22384325</v>
      </c>
      <c r="J5" s="5">
        <v>24153928</v>
      </c>
      <c r="K5" s="5">
        <v>21026717</v>
      </c>
      <c r="L5" s="5"/>
      <c r="M5" s="63">
        <v>22846812</v>
      </c>
      <c r="N5" s="68" t="s">
        <v>21</v>
      </c>
      <c r="O5" s="69">
        <f>(O6-Q6)/Q6</f>
        <v>8.7287104241045188E-2</v>
      </c>
      <c r="P5" s="1"/>
      <c r="Q5" s="1"/>
      <c r="S5" s="47">
        <v>1E-3</v>
      </c>
    </row>
    <row r="6" spans="2:19" x14ac:dyDescent="0.25">
      <c r="B6" s="21"/>
      <c r="C6" s="14" t="s">
        <v>4</v>
      </c>
      <c r="D6" s="16">
        <f>($S5*D5)+D4</f>
        <v>82026.839000000007</v>
      </c>
      <c r="E6" s="16">
        <f t="shared" ref="E6:M6" si="0">($S5*E5)+E4</f>
        <v>78351.404999999999</v>
      </c>
      <c r="F6" s="138">
        <f t="shared" si="0"/>
        <v>55427.722000000002</v>
      </c>
      <c r="G6" s="131">
        <f t="shared" si="0"/>
        <v>61706.239000000001</v>
      </c>
      <c r="H6" s="16">
        <f t="shared" si="0"/>
        <v>80306.650999999998</v>
      </c>
      <c r="I6" s="145">
        <f t="shared" si="0"/>
        <v>59304.324999999997</v>
      </c>
      <c r="J6" s="16">
        <f t="shared" si="0"/>
        <v>83751.928</v>
      </c>
      <c r="K6" s="16">
        <f t="shared" si="0"/>
        <v>80238.717000000004</v>
      </c>
      <c r="L6" s="16"/>
      <c r="M6" s="64">
        <f t="shared" si="0"/>
        <v>64178.812000000005</v>
      </c>
      <c r="N6" s="70"/>
      <c r="O6" s="16">
        <f>SMALL(D6:M6,1)</f>
        <v>55427.722000000002</v>
      </c>
      <c r="P6" s="16">
        <v>56062</v>
      </c>
      <c r="Q6" s="16">
        <v>50978</v>
      </c>
      <c r="S6" s="40"/>
    </row>
    <row r="7" spans="2:19" x14ac:dyDescent="0.25">
      <c r="B7" s="22"/>
      <c r="C7" s="3" t="s">
        <v>3</v>
      </c>
      <c r="D7" s="4">
        <v>535</v>
      </c>
      <c r="E7" s="6">
        <v>1141</v>
      </c>
      <c r="F7" s="139"/>
      <c r="G7" s="132">
        <v>3043</v>
      </c>
      <c r="H7" s="6">
        <v>777</v>
      </c>
      <c r="I7" s="144">
        <v>794</v>
      </c>
      <c r="J7" s="6">
        <v>766</v>
      </c>
      <c r="K7" s="6">
        <v>690</v>
      </c>
      <c r="L7" s="6"/>
      <c r="M7" s="65">
        <v>368</v>
      </c>
      <c r="N7" s="63"/>
      <c r="O7" s="33"/>
      <c r="P7" s="36">
        <v>300</v>
      </c>
      <c r="Q7" s="36">
        <v>3600</v>
      </c>
    </row>
    <row r="8" spans="2:19" x14ac:dyDescent="0.25">
      <c r="B8" s="23">
        <v>2</v>
      </c>
      <c r="C8" s="8" t="s">
        <v>1</v>
      </c>
      <c r="D8" s="9">
        <v>108545</v>
      </c>
      <c r="E8" s="10">
        <v>107897</v>
      </c>
      <c r="F8" s="127">
        <v>100148</v>
      </c>
      <c r="G8" s="133">
        <v>106740</v>
      </c>
      <c r="H8" s="10">
        <v>115329</v>
      </c>
      <c r="I8" s="146">
        <v>105140</v>
      </c>
      <c r="J8" s="10">
        <v>112989</v>
      </c>
      <c r="K8" s="10">
        <v>116961</v>
      </c>
      <c r="L8" s="10"/>
      <c r="M8" s="75">
        <v>109759</v>
      </c>
      <c r="N8" s="77" t="s">
        <v>22</v>
      </c>
      <c r="O8" s="82">
        <f>(O10-P10)/P10</f>
        <v>-0.11401335468114776</v>
      </c>
      <c r="P8" s="34"/>
      <c r="Q8" s="34"/>
      <c r="S8" s="46" t="s">
        <v>26</v>
      </c>
    </row>
    <row r="9" spans="2:19" x14ac:dyDescent="0.25">
      <c r="B9" s="23"/>
      <c r="C9" s="8" t="s">
        <v>2</v>
      </c>
      <c r="D9" s="9">
        <v>20614725</v>
      </c>
      <c r="E9" s="10">
        <v>21004027</v>
      </c>
      <c r="F9" s="127">
        <v>19932428</v>
      </c>
      <c r="G9" s="133">
        <v>21393120</v>
      </c>
      <c r="H9" s="10">
        <v>25826984</v>
      </c>
      <c r="I9" s="146">
        <v>21717470</v>
      </c>
      <c r="J9" s="10">
        <v>29092094</v>
      </c>
      <c r="K9" s="10">
        <v>24641541</v>
      </c>
      <c r="L9" s="10"/>
      <c r="M9" s="75">
        <v>20584364</v>
      </c>
      <c r="N9" s="72" t="s">
        <v>21</v>
      </c>
      <c r="O9" s="83">
        <f>(O10-Q10)/Q10</f>
        <v>7.8173379549975226E-3</v>
      </c>
      <c r="P9" s="34"/>
      <c r="Q9" s="34"/>
      <c r="S9" s="160">
        <f>AVERAGE(O4,O8,O12,O16,O20,O24,O28,O32,O36,O40)</f>
        <v>-0.27922718702913019</v>
      </c>
    </row>
    <row r="10" spans="2:19" x14ac:dyDescent="0.25">
      <c r="B10" s="23"/>
      <c r="C10" s="15" t="s">
        <v>4</v>
      </c>
      <c r="D10" s="17">
        <f>($S5*D9)+D8</f>
        <v>129159.72500000001</v>
      </c>
      <c r="E10" s="17">
        <f t="shared" ref="E10:M10" si="1">($S5*E9)+E8</f>
        <v>128901.027</v>
      </c>
      <c r="F10" s="128">
        <f t="shared" si="1"/>
        <v>120080.428</v>
      </c>
      <c r="G10" s="134">
        <f t="shared" si="1"/>
        <v>128133.12</v>
      </c>
      <c r="H10" s="17">
        <f t="shared" si="1"/>
        <v>141155.984</v>
      </c>
      <c r="I10" s="147">
        <f t="shared" si="1"/>
        <v>126857.47</v>
      </c>
      <c r="J10" s="17">
        <f t="shared" si="1"/>
        <v>142081.09400000001</v>
      </c>
      <c r="K10" s="17">
        <f t="shared" si="1"/>
        <v>141602.541</v>
      </c>
      <c r="L10" s="17"/>
      <c r="M10" s="76">
        <f t="shared" si="1"/>
        <v>130343.364</v>
      </c>
      <c r="N10" s="73"/>
      <c r="O10" s="17">
        <f>SMALL(D10:M10,1)</f>
        <v>120080.428</v>
      </c>
      <c r="P10" s="17">
        <v>135533</v>
      </c>
      <c r="Q10" s="17">
        <v>119149</v>
      </c>
    </row>
    <row r="11" spans="2:19" x14ac:dyDescent="0.25">
      <c r="B11" s="24"/>
      <c r="C11" s="11" t="s">
        <v>3</v>
      </c>
      <c r="D11" s="12">
        <v>1027</v>
      </c>
      <c r="E11" s="13">
        <v>1549</v>
      </c>
      <c r="F11" s="129"/>
      <c r="G11" s="135">
        <v>2998</v>
      </c>
      <c r="H11" s="13">
        <v>1631</v>
      </c>
      <c r="I11" s="148">
        <v>1031</v>
      </c>
      <c r="J11" s="13">
        <v>781</v>
      </c>
      <c r="K11" s="13">
        <v>809</v>
      </c>
      <c r="L11" s="13"/>
      <c r="M11" s="74">
        <v>310</v>
      </c>
      <c r="N11" s="75"/>
      <c r="O11" s="34"/>
      <c r="P11" s="37">
        <v>300</v>
      </c>
      <c r="Q11" s="37">
        <v>3600</v>
      </c>
      <c r="S11" s="46" t="s">
        <v>27</v>
      </c>
    </row>
    <row r="12" spans="2:19" x14ac:dyDescent="0.25">
      <c r="B12" s="25">
        <v>3</v>
      </c>
      <c r="C12" s="2" t="s">
        <v>1</v>
      </c>
      <c r="D12" s="1">
        <v>42786</v>
      </c>
      <c r="E12" s="142">
        <v>41627</v>
      </c>
      <c r="F12" s="137">
        <v>42476</v>
      </c>
      <c r="G12" s="130">
        <v>53174</v>
      </c>
      <c r="H12" s="5">
        <v>48255</v>
      </c>
      <c r="I12" s="5">
        <v>49806</v>
      </c>
      <c r="J12" s="5">
        <v>49846</v>
      </c>
      <c r="K12" s="5">
        <v>65937</v>
      </c>
      <c r="L12" s="5"/>
      <c r="M12" s="63">
        <v>56067</v>
      </c>
      <c r="N12" s="81" t="s">
        <v>22</v>
      </c>
      <c r="O12" s="84">
        <f>(O14-P14)/P14</f>
        <v>-0.1998863197942343</v>
      </c>
      <c r="P12" s="33"/>
      <c r="Q12" s="33"/>
      <c r="S12" s="160">
        <f>AVERAGE(O5,O13,O17,O21,O25,O29,O33,O37,O41)</f>
        <v>2.5176782596955539E-3</v>
      </c>
    </row>
    <row r="13" spans="2:19" x14ac:dyDescent="0.25">
      <c r="B13" s="21"/>
      <c r="C13" s="2" t="s">
        <v>2</v>
      </c>
      <c r="D13" s="1">
        <v>20274846</v>
      </c>
      <c r="E13" s="142">
        <v>20555862</v>
      </c>
      <c r="F13" s="137">
        <v>17250886</v>
      </c>
      <c r="G13" s="130">
        <v>19500659</v>
      </c>
      <c r="H13" s="5">
        <v>23909665</v>
      </c>
      <c r="I13" s="5">
        <v>21492191</v>
      </c>
      <c r="J13" s="5">
        <v>21311106</v>
      </c>
      <c r="K13" s="5">
        <v>20794697</v>
      </c>
      <c r="L13" s="5"/>
      <c r="M13" s="63">
        <v>22432977</v>
      </c>
      <c r="N13" s="68" t="s">
        <v>21</v>
      </c>
      <c r="O13" s="85">
        <f>(O14-Q14)/Q14</f>
        <v>-6.2607728043191688E-2</v>
      </c>
      <c r="P13" s="33"/>
      <c r="Q13" s="33"/>
    </row>
    <row r="14" spans="2:19" x14ac:dyDescent="0.25">
      <c r="B14" s="21"/>
      <c r="C14" s="14" t="s">
        <v>4</v>
      </c>
      <c r="D14" s="18">
        <f>($S5*D13)+D12</f>
        <v>63060.846000000005</v>
      </c>
      <c r="E14" s="143">
        <f t="shared" ref="E14:M14" si="2">($S5*E13)+E12</f>
        <v>62182.862000000001</v>
      </c>
      <c r="F14" s="140">
        <f t="shared" si="2"/>
        <v>59726.885999999999</v>
      </c>
      <c r="G14" s="136">
        <f t="shared" si="2"/>
        <v>72674.659</v>
      </c>
      <c r="H14" s="18">
        <f t="shared" si="2"/>
        <v>72164.665000000008</v>
      </c>
      <c r="I14" s="18">
        <f t="shared" si="2"/>
        <v>71298.190999999992</v>
      </c>
      <c r="J14" s="18">
        <f t="shared" si="2"/>
        <v>71157.106</v>
      </c>
      <c r="K14" s="18">
        <f t="shared" si="2"/>
        <v>86731.697</v>
      </c>
      <c r="L14" s="18"/>
      <c r="M14" s="79">
        <f t="shared" si="2"/>
        <v>78499.976999999999</v>
      </c>
      <c r="N14" s="70"/>
      <c r="O14" s="18">
        <f>SMALL(D14:M14,1)</f>
        <v>59726.885999999999</v>
      </c>
      <c r="P14" s="18">
        <v>74648</v>
      </c>
      <c r="Q14" s="18">
        <v>63716</v>
      </c>
    </row>
    <row r="15" spans="2:19" x14ac:dyDescent="0.25">
      <c r="B15" s="22"/>
      <c r="C15" s="3" t="s">
        <v>3</v>
      </c>
      <c r="D15" s="4">
        <v>822</v>
      </c>
      <c r="E15" s="144">
        <v>1203</v>
      </c>
      <c r="F15" s="139"/>
      <c r="G15" s="132">
        <v>3022</v>
      </c>
      <c r="H15" s="6">
        <v>972</v>
      </c>
      <c r="I15" s="6">
        <v>845</v>
      </c>
      <c r="J15" s="6">
        <v>843</v>
      </c>
      <c r="K15" s="6">
        <v>1000</v>
      </c>
      <c r="L15" s="6"/>
      <c r="M15" s="65">
        <v>352</v>
      </c>
      <c r="N15" s="71"/>
      <c r="O15" s="36"/>
      <c r="P15" s="36">
        <v>300</v>
      </c>
      <c r="Q15" s="36">
        <v>3600</v>
      </c>
    </row>
    <row r="16" spans="2:19" x14ac:dyDescent="0.25">
      <c r="B16" s="26">
        <v>4</v>
      </c>
      <c r="C16" s="8" t="s">
        <v>1</v>
      </c>
      <c r="D16" s="9">
        <v>133222</v>
      </c>
      <c r="E16" s="10">
        <v>135417</v>
      </c>
      <c r="F16" s="122">
        <v>143345</v>
      </c>
      <c r="G16" s="127">
        <v>126370</v>
      </c>
      <c r="H16" s="10">
        <v>134159</v>
      </c>
      <c r="I16" s="10">
        <v>145857</v>
      </c>
      <c r="J16" s="10">
        <v>142120</v>
      </c>
      <c r="K16" s="10">
        <v>148048</v>
      </c>
      <c r="L16" s="10"/>
      <c r="M16" s="149">
        <v>132894</v>
      </c>
      <c r="N16" s="72" t="s">
        <v>22</v>
      </c>
      <c r="O16" s="82">
        <f>(O18-P18)/P18</f>
        <v>-5.8468631528230397E-2</v>
      </c>
      <c r="P16" s="34"/>
      <c r="Q16" s="34"/>
    </row>
    <row r="17" spans="2:17" x14ac:dyDescent="0.25">
      <c r="B17" s="23"/>
      <c r="C17" s="8" t="s">
        <v>2</v>
      </c>
      <c r="D17" s="9">
        <v>24928552</v>
      </c>
      <c r="E17" s="10">
        <v>23104922</v>
      </c>
      <c r="F17" s="122">
        <v>19591675</v>
      </c>
      <c r="G17" s="127">
        <v>22145275</v>
      </c>
      <c r="H17" s="10">
        <v>25753414</v>
      </c>
      <c r="I17" s="10">
        <v>24631762</v>
      </c>
      <c r="J17" s="10">
        <v>23843600</v>
      </c>
      <c r="K17" s="10">
        <v>24616253</v>
      </c>
      <c r="L17" s="10"/>
      <c r="M17" s="149">
        <v>25157574</v>
      </c>
      <c r="N17" s="72" t="s">
        <v>21</v>
      </c>
      <c r="O17" s="83">
        <f>(O18-Q18)/Q18</f>
        <v>3.4286554961279136E-2</v>
      </c>
      <c r="P17" s="34"/>
      <c r="Q17" s="34"/>
    </row>
    <row r="18" spans="2:17" x14ac:dyDescent="0.25">
      <c r="B18" s="23"/>
      <c r="C18" s="15" t="s">
        <v>4</v>
      </c>
      <c r="D18" s="17">
        <f>($S5*D17)+D16</f>
        <v>158150.552</v>
      </c>
      <c r="E18" s="17">
        <f t="shared" ref="E18:M18" si="3">($S5*E17)+E16</f>
        <v>158521.92199999999</v>
      </c>
      <c r="F18" s="123">
        <f t="shared" si="3"/>
        <v>162936.67499999999</v>
      </c>
      <c r="G18" s="128">
        <f t="shared" si="3"/>
        <v>148515.27499999999</v>
      </c>
      <c r="H18" s="17">
        <f t="shared" si="3"/>
        <v>159912.41399999999</v>
      </c>
      <c r="I18" s="17">
        <f t="shared" si="3"/>
        <v>170488.76199999999</v>
      </c>
      <c r="J18" s="17">
        <f t="shared" si="3"/>
        <v>165963.6</v>
      </c>
      <c r="K18" s="17">
        <f t="shared" si="3"/>
        <v>172664.253</v>
      </c>
      <c r="L18" s="17"/>
      <c r="M18" s="150">
        <f t="shared" si="3"/>
        <v>158051.57399999999</v>
      </c>
      <c r="N18" s="73"/>
      <c r="O18" s="17">
        <f>SMALL(D18:M18,1)</f>
        <v>148515.27499999999</v>
      </c>
      <c r="P18" s="17">
        <v>157738</v>
      </c>
      <c r="Q18" s="17">
        <v>143592</v>
      </c>
    </row>
    <row r="19" spans="2:17" x14ac:dyDescent="0.25">
      <c r="B19" s="24"/>
      <c r="C19" s="11" t="s">
        <v>3</v>
      </c>
      <c r="D19" s="12">
        <v>711</v>
      </c>
      <c r="E19" s="13">
        <v>1219</v>
      </c>
      <c r="F19" s="124"/>
      <c r="G19" s="129">
        <v>3054</v>
      </c>
      <c r="H19" s="13">
        <v>950</v>
      </c>
      <c r="I19" s="13">
        <v>859</v>
      </c>
      <c r="J19" s="13">
        <v>846</v>
      </c>
      <c r="K19" s="13">
        <v>794</v>
      </c>
      <c r="L19" s="13"/>
      <c r="M19" s="151">
        <v>318</v>
      </c>
      <c r="N19" s="75"/>
      <c r="O19" s="34"/>
      <c r="P19" s="37">
        <v>300</v>
      </c>
      <c r="Q19" s="37">
        <v>3600</v>
      </c>
    </row>
    <row r="20" spans="2:17" x14ac:dyDescent="0.25">
      <c r="B20" s="25">
        <v>5</v>
      </c>
      <c r="C20" s="2" t="s">
        <v>1</v>
      </c>
      <c r="D20" s="1">
        <v>50125</v>
      </c>
      <c r="E20" s="5">
        <v>48580</v>
      </c>
      <c r="F20" s="137">
        <v>36711</v>
      </c>
      <c r="G20" s="130">
        <v>47618</v>
      </c>
      <c r="H20" s="5">
        <v>55406</v>
      </c>
      <c r="I20" s="5">
        <v>51840</v>
      </c>
      <c r="J20" s="5">
        <v>56712</v>
      </c>
      <c r="K20" s="142">
        <v>46351</v>
      </c>
      <c r="L20" s="5"/>
      <c r="M20" s="63">
        <v>51719</v>
      </c>
      <c r="N20" s="81" t="s">
        <v>22</v>
      </c>
      <c r="O20" s="84">
        <f>(O22-P22)/P22</f>
        <v>-0.34657284902847429</v>
      </c>
      <c r="P20" s="33"/>
      <c r="Q20" s="33"/>
    </row>
    <row r="21" spans="2:17" x14ac:dyDescent="0.25">
      <c r="B21" s="21"/>
      <c r="C21" s="2" t="s">
        <v>2</v>
      </c>
      <c r="D21" s="1">
        <v>18752740</v>
      </c>
      <c r="E21" s="5">
        <v>21284820</v>
      </c>
      <c r="F21" s="137">
        <v>16321801</v>
      </c>
      <c r="G21" s="130">
        <v>18910708</v>
      </c>
      <c r="H21" s="5">
        <v>23738321</v>
      </c>
      <c r="I21" s="5">
        <v>23957105</v>
      </c>
      <c r="J21" s="5">
        <v>22159852</v>
      </c>
      <c r="K21" s="142">
        <v>19668916</v>
      </c>
      <c r="L21" s="5"/>
      <c r="M21" s="63">
        <v>21501659</v>
      </c>
      <c r="N21" s="68" t="s">
        <v>21</v>
      </c>
      <c r="O21" s="85">
        <f>(O22-Q22)/Q22</f>
        <v>-1.5522823887579137E-2</v>
      </c>
      <c r="P21" s="33"/>
      <c r="Q21" s="33"/>
    </row>
    <row r="22" spans="2:17" x14ac:dyDescent="0.25">
      <c r="B22" s="21"/>
      <c r="C22" s="14" t="s">
        <v>4</v>
      </c>
      <c r="D22" s="18">
        <f>($S5*D21)+D20</f>
        <v>68877.740000000005</v>
      </c>
      <c r="E22" s="18">
        <f t="shared" ref="E22:M22" si="4">($S5*E21)+E20</f>
        <v>69864.820000000007</v>
      </c>
      <c r="F22" s="140">
        <f t="shared" si="4"/>
        <v>53032.800999999999</v>
      </c>
      <c r="G22" s="136">
        <f t="shared" si="4"/>
        <v>66528.707999999999</v>
      </c>
      <c r="H22" s="18">
        <f t="shared" si="4"/>
        <v>79144.320999999996</v>
      </c>
      <c r="I22" s="18">
        <f t="shared" si="4"/>
        <v>75797.104999999996</v>
      </c>
      <c r="J22" s="18">
        <f t="shared" si="4"/>
        <v>78871.851999999999</v>
      </c>
      <c r="K22" s="143">
        <f t="shared" si="4"/>
        <v>66019.915999999997</v>
      </c>
      <c r="L22" s="18"/>
      <c r="M22" s="79">
        <f t="shared" si="4"/>
        <v>73220.659</v>
      </c>
      <c r="N22" s="70"/>
      <c r="O22" s="18">
        <f>SMALL(D22:M22,1)</f>
        <v>53032.800999999999</v>
      </c>
      <c r="P22" s="18">
        <v>81161</v>
      </c>
      <c r="Q22" s="18">
        <v>53869</v>
      </c>
    </row>
    <row r="23" spans="2:17" x14ac:dyDescent="0.25">
      <c r="B23" s="22"/>
      <c r="C23" s="3" t="s">
        <v>3</v>
      </c>
      <c r="D23" s="4">
        <v>729</v>
      </c>
      <c r="E23" s="6">
        <v>1186</v>
      </c>
      <c r="F23" s="139"/>
      <c r="G23" s="132">
        <v>2824</v>
      </c>
      <c r="H23" s="6">
        <v>956</v>
      </c>
      <c r="I23" s="6">
        <v>936</v>
      </c>
      <c r="J23" s="6">
        <v>844</v>
      </c>
      <c r="K23" s="144">
        <v>914</v>
      </c>
      <c r="L23" s="6"/>
      <c r="M23" s="65">
        <v>285</v>
      </c>
      <c r="N23" s="71"/>
      <c r="O23" s="36"/>
      <c r="P23" s="36">
        <v>300</v>
      </c>
      <c r="Q23" s="36">
        <v>3600</v>
      </c>
    </row>
    <row r="24" spans="2:17" x14ac:dyDescent="0.25">
      <c r="B24" s="23">
        <v>6</v>
      </c>
      <c r="C24" s="8" t="s">
        <v>1</v>
      </c>
      <c r="D24" s="152">
        <v>79236</v>
      </c>
      <c r="E24" s="10">
        <v>95007</v>
      </c>
      <c r="F24" s="127">
        <v>67211</v>
      </c>
      <c r="G24" s="133">
        <v>89040</v>
      </c>
      <c r="H24" s="10">
        <v>82336</v>
      </c>
      <c r="I24" s="10">
        <v>81516</v>
      </c>
      <c r="J24" s="10">
        <v>86776</v>
      </c>
      <c r="K24" s="10">
        <v>79837</v>
      </c>
      <c r="L24" s="10"/>
      <c r="M24" s="75">
        <v>83489</v>
      </c>
      <c r="N24" s="72" t="s">
        <v>22</v>
      </c>
      <c r="O24" s="82">
        <f>(O26-P26)/P26</f>
        <v>-0.48481223597512163</v>
      </c>
      <c r="P24" s="34"/>
      <c r="Q24" s="34"/>
    </row>
    <row r="25" spans="2:17" x14ac:dyDescent="0.25">
      <c r="B25" s="23"/>
      <c r="C25" s="8" t="s">
        <v>2</v>
      </c>
      <c r="D25" s="152">
        <v>22709591</v>
      </c>
      <c r="E25" s="10">
        <v>23910187</v>
      </c>
      <c r="F25" s="127">
        <v>16450341</v>
      </c>
      <c r="G25" s="133">
        <v>23556020</v>
      </c>
      <c r="H25" s="10">
        <v>21558541</v>
      </c>
      <c r="I25" s="10">
        <v>25796121</v>
      </c>
      <c r="J25" s="10">
        <v>26375406</v>
      </c>
      <c r="K25" s="10">
        <v>22939967</v>
      </c>
      <c r="L25" s="10"/>
      <c r="M25" s="75">
        <v>26167994</v>
      </c>
      <c r="N25" s="72" t="s">
        <v>21</v>
      </c>
      <c r="O25" s="126">
        <f>(O26-Q26)/Q26</f>
        <v>3.5667794251715412E-3</v>
      </c>
      <c r="P25" s="34"/>
      <c r="Q25" s="34"/>
    </row>
    <row r="26" spans="2:17" x14ac:dyDescent="0.25">
      <c r="B26" s="23"/>
      <c r="C26" s="15" t="s">
        <v>4</v>
      </c>
      <c r="D26" s="147">
        <f>($S5*D25)+D24</f>
        <v>101945.591</v>
      </c>
      <c r="E26" s="17">
        <f t="shared" ref="E26:M26" si="5">($S5*E25)+E24</f>
        <v>118917.18700000001</v>
      </c>
      <c r="F26" s="128">
        <f t="shared" si="5"/>
        <v>83661.341</v>
      </c>
      <c r="G26" s="134">
        <f t="shared" si="5"/>
        <v>112596.02</v>
      </c>
      <c r="H26" s="17">
        <f t="shared" si="5"/>
        <v>103894.541</v>
      </c>
      <c r="I26" s="17">
        <f t="shared" si="5"/>
        <v>107312.121</v>
      </c>
      <c r="J26" s="17">
        <f t="shared" si="5"/>
        <v>113151.406</v>
      </c>
      <c r="K26" s="17">
        <f t="shared" si="5"/>
        <v>102776.967</v>
      </c>
      <c r="L26" s="17"/>
      <c r="M26" s="76">
        <f t="shared" si="5"/>
        <v>109656.99400000001</v>
      </c>
      <c r="N26" s="73"/>
      <c r="O26" s="17">
        <f>SMALL(D26:M26,1)</f>
        <v>83661.341</v>
      </c>
      <c r="P26" s="17">
        <v>162390</v>
      </c>
      <c r="Q26" s="17">
        <v>83364</v>
      </c>
    </row>
    <row r="27" spans="2:17" x14ac:dyDescent="0.25">
      <c r="B27" s="24"/>
      <c r="C27" s="11" t="s">
        <v>3</v>
      </c>
      <c r="D27" s="153">
        <v>718</v>
      </c>
      <c r="E27" s="13">
        <v>1194</v>
      </c>
      <c r="F27" s="129"/>
      <c r="G27" s="135">
        <v>3153</v>
      </c>
      <c r="H27" s="13">
        <v>1038</v>
      </c>
      <c r="I27" s="13">
        <v>850</v>
      </c>
      <c r="J27" s="13">
        <v>829</v>
      </c>
      <c r="K27" s="13">
        <v>820</v>
      </c>
      <c r="L27" s="13"/>
      <c r="M27" s="74">
        <v>298</v>
      </c>
      <c r="N27" s="75"/>
      <c r="O27" s="34"/>
      <c r="P27" s="37">
        <v>300</v>
      </c>
      <c r="Q27" s="37">
        <v>3600</v>
      </c>
    </row>
    <row r="28" spans="2:17" x14ac:dyDescent="0.25">
      <c r="B28" s="25">
        <v>7</v>
      </c>
      <c r="C28" s="2" t="s">
        <v>1</v>
      </c>
      <c r="D28" s="1">
        <v>15308</v>
      </c>
      <c r="E28" s="5">
        <v>25634</v>
      </c>
      <c r="F28" s="137">
        <v>8576</v>
      </c>
      <c r="G28" s="130">
        <v>18431</v>
      </c>
      <c r="H28" s="142">
        <v>13521</v>
      </c>
      <c r="I28" s="5">
        <v>27636</v>
      </c>
      <c r="J28" s="5">
        <v>22109</v>
      </c>
      <c r="K28" s="5">
        <v>14307</v>
      </c>
      <c r="L28" s="5"/>
      <c r="M28" s="63">
        <v>19675</v>
      </c>
      <c r="N28" s="81" t="s">
        <v>22</v>
      </c>
      <c r="O28" s="84">
        <f>(O30-P30)/P30</f>
        <v>-0.53781969728541934</v>
      </c>
      <c r="P28" s="33"/>
      <c r="Q28" s="33"/>
    </row>
    <row r="29" spans="2:17" x14ac:dyDescent="0.25">
      <c r="B29" s="21"/>
      <c r="C29" s="2" t="s">
        <v>2</v>
      </c>
      <c r="D29" s="1">
        <v>19881793</v>
      </c>
      <c r="E29" s="5">
        <v>21343044</v>
      </c>
      <c r="F29" s="137">
        <v>15822036</v>
      </c>
      <c r="G29" s="130">
        <v>18859941</v>
      </c>
      <c r="H29" s="142">
        <v>19221656</v>
      </c>
      <c r="I29" s="5">
        <v>21989146</v>
      </c>
      <c r="J29" s="5">
        <v>21587994</v>
      </c>
      <c r="K29" s="5">
        <v>20901392</v>
      </c>
      <c r="L29" s="5"/>
      <c r="M29" s="63">
        <v>21441710</v>
      </c>
      <c r="N29" s="68" t="s">
        <v>21</v>
      </c>
      <c r="O29" s="85">
        <f>(O30-Q30)/Q30</f>
        <v>-0.2336337479582862</v>
      </c>
      <c r="P29" s="33"/>
      <c r="Q29" s="33"/>
    </row>
    <row r="30" spans="2:17" x14ac:dyDescent="0.25">
      <c r="B30" s="21"/>
      <c r="C30" s="14" t="s">
        <v>4</v>
      </c>
      <c r="D30" s="18">
        <f>($S5*D29)+D28</f>
        <v>35189.793000000005</v>
      </c>
      <c r="E30" s="18">
        <f t="shared" ref="E30:M30" si="6">($S5*E29)+E28</f>
        <v>46977.044000000002</v>
      </c>
      <c r="F30" s="140">
        <f t="shared" si="6"/>
        <v>24398.036</v>
      </c>
      <c r="G30" s="136">
        <f t="shared" si="6"/>
        <v>37290.940999999999</v>
      </c>
      <c r="H30" s="143">
        <f t="shared" si="6"/>
        <v>32742.655999999999</v>
      </c>
      <c r="I30" s="18">
        <f t="shared" si="6"/>
        <v>49625.146000000001</v>
      </c>
      <c r="J30" s="18">
        <f t="shared" si="6"/>
        <v>43696.993999999999</v>
      </c>
      <c r="K30" s="18">
        <f t="shared" si="6"/>
        <v>35208.392</v>
      </c>
      <c r="L30" s="18"/>
      <c r="M30" s="79">
        <f t="shared" si="6"/>
        <v>41116.71</v>
      </c>
      <c r="N30" s="70"/>
      <c r="O30" s="18">
        <f>SMALL(D30:M30,1)</f>
        <v>24398.036</v>
      </c>
      <c r="P30" s="18">
        <v>52789</v>
      </c>
      <c r="Q30" s="18">
        <v>31836</v>
      </c>
    </row>
    <row r="31" spans="2:17" x14ac:dyDescent="0.25">
      <c r="B31" s="22"/>
      <c r="C31" s="3" t="s">
        <v>3</v>
      </c>
      <c r="D31" s="4">
        <v>714</v>
      </c>
      <c r="E31" s="6">
        <v>1229</v>
      </c>
      <c r="F31" s="139"/>
      <c r="G31" s="132">
        <v>2896</v>
      </c>
      <c r="H31" s="144">
        <v>962</v>
      </c>
      <c r="I31" s="6">
        <v>840</v>
      </c>
      <c r="J31" s="6">
        <v>880</v>
      </c>
      <c r="K31" s="6">
        <v>898</v>
      </c>
      <c r="L31" s="6"/>
      <c r="M31" s="65">
        <v>290</v>
      </c>
      <c r="N31" s="71"/>
      <c r="O31" s="36"/>
      <c r="P31" s="36">
        <v>300</v>
      </c>
      <c r="Q31" s="36">
        <v>3600</v>
      </c>
    </row>
    <row r="32" spans="2:17" x14ac:dyDescent="0.25">
      <c r="B32" s="26">
        <v>8</v>
      </c>
      <c r="C32" s="8" t="s">
        <v>1</v>
      </c>
      <c r="D32" s="9">
        <v>171676</v>
      </c>
      <c r="E32" s="146">
        <v>166026</v>
      </c>
      <c r="F32" s="127">
        <v>164456</v>
      </c>
      <c r="G32" s="133">
        <v>166753</v>
      </c>
      <c r="H32" s="10">
        <v>169767</v>
      </c>
      <c r="I32" s="10">
        <v>172138</v>
      </c>
      <c r="J32" s="10">
        <v>173752</v>
      </c>
      <c r="K32" s="10">
        <v>172265</v>
      </c>
      <c r="L32" s="119"/>
      <c r="M32" s="75">
        <v>179364</v>
      </c>
      <c r="N32" s="72" t="s">
        <v>22</v>
      </c>
      <c r="O32" s="82">
        <f>(O34-P34)/P34</f>
        <v>-0.15545758838982737</v>
      </c>
      <c r="P32" s="34"/>
      <c r="Q32" s="34"/>
    </row>
    <row r="33" spans="2:17" x14ac:dyDescent="0.25">
      <c r="B33" s="23"/>
      <c r="C33" s="8" t="s">
        <v>2</v>
      </c>
      <c r="D33" s="9">
        <v>20404161</v>
      </c>
      <c r="E33" s="146">
        <v>20223311</v>
      </c>
      <c r="F33" s="127">
        <v>20714991</v>
      </c>
      <c r="G33" s="133">
        <v>19671363</v>
      </c>
      <c r="H33" s="10">
        <v>20748027</v>
      </c>
      <c r="I33" s="10">
        <v>20520248</v>
      </c>
      <c r="J33" s="10">
        <v>20190262</v>
      </c>
      <c r="K33" s="10">
        <v>19277825</v>
      </c>
      <c r="L33" s="119"/>
      <c r="M33" s="75">
        <v>21238324</v>
      </c>
      <c r="N33" s="72" t="s">
        <v>21</v>
      </c>
      <c r="O33" s="83">
        <f>(O34-Q34)/Q34</f>
        <v>-3.7777859188010826E-2</v>
      </c>
      <c r="P33" s="34"/>
      <c r="Q33" s="34"/>
    </row>
    <row r="34" spans="2:17" x14ac:dyDescent="0.25">
      <c r="B34" s="23"/>
      <c r="C34" s="15" t="s">
        <v>4</v>
      </c>
      <c r="D34" s="17">
        <f>($S5*D33)+D32</f>
        <v>192080.16099999999</v>
      </c>
      <c r="E34" s="147">
        <f t="shared" ref="E34:M34" si="7">($S5*E33)+E32</f>
        <v>186249.31099999999</v>
      </c>
      <c r="F34" s="128">
        <f t="shared" si="7"/>
        <v>185170.99100000001</v>
      </c>
      <c r="G34" s="134">
        <f t="shared" si="7"/>
        <v>186424.36300000001</v>
      </c>
      <c r="H34" s="17">
        <f t="shared" si="7"/>
        <v>190515.027</v>
      </c>
      <c r="I34" s="17">
        <f t="shared" si="7"/>
        <v>192658.24799999999</v>
      </c>
      <c r="J34" s="17">
        <f t="shared" si="7"/>
        <v>193942.26199999999</v>
      </c>
      <c r="K34" s="17">
        <f t="shared" si="7"/>
        <v>191542.82500000001</v>
      </c>
      <c r="L34" s="17"/>
      <c r="M34" s="76">
        <f t="shared" si="7"/>
        <v>200602.32399999999</v>
      </c>
      <c r="N34" s="73"/>
      <c r="O34" s="17">
        <f>SMALL(D34:M34,1)</f>
        <v>185170.99100000001</v>
      </c>
      <c r="P34" s="17">
        <v>219256</v>
      </c>
      <c r="Q34" s="17">
        <v>192441</v>
      </c>
    </row>
    <row r="35" spans="2:17" x14ac:dyDescent="0.25">
      <c r="B35" s="24"/>
      <c r="C35" s="11" t="s">
        <v>3</v>
      </c>
      <c r="D35" s="12">
        <v>1014</v>
      </c>
      <c r="E35" s="148">
        <v>1312</v>
      </c>
      <c r="F35" s="129"/>
      <c r="G35" s="135">
        <v>3001</v>
      </c>
      <c r="H35" s="13">
        <v>1413</v>
      </c>
      <c r="I35" s="13">
        <v>874</v>
      </c>
      <c r="J35" s="13">
        <v>837</v>
      </c>
      <c r="K35" s="13">
        <v>864</v>
      </c>
      <c r="L35" s="13"/>
      <c r="M35" s="74">
        <v>376</v>
      </c>
      <c r="N35" s="75"/>
      <c r="O35" s="34"/>
      <c r="P35" s="37">
        <v>300</v>
      </c>
      <c r="Q35" s="37">
        <v>3600</v>
      </c>
    </row>
    <row r="36" spans="2:17" x14ac:dyDescent="0.25">
      <c r="B36" s="25">
        <v>9</v>
      </c>
      <c r="C36" s="2" t="s">
        <v>1</v>
      </c>
      <c r="D36" s="1">
        <v>28086</v>
      </c>
      <c r="E36" s="5">
        <v>27224</v>
      </c>
      <c r="F36" s="137">
        <v>17008</v>
      </c>
      <c r="G36" s="142">
        <v>19090</v>
      </c>
      <c r="H36" s="5">
        <v>24939</v>
      </c>
      <c r="I36" s="5">
        <v>32438</v>
      </c>
      <c r="J36" s="118">
        <v>32461</v>
      </c>
      <c r="K36" s="5">
        <v>30305</v>
      </c>
      <c r="L36" s="5"/>
      <c r="M36" s="154">
        <v>20691</v>
      </c>
      <c r="N36" s="81" t="s">
        <v>22</v>
      </c>
      <c r="O36" s="84">
        <f>(O38-P38)/P38</f>
        <v>-5.7875584883023398E-2</v>
      </c>
      <c r="P36" s="33"/>
      <c r="Q36" s="33"/>
    </row>
    <row r="37" spans="2:17" x14ac:dyDescent="0.25">
      <c r="B37" s="21"/>
      <c r="C37" s="2" t="s">
        <v>2</v>
      </c>
      <c r="D37" s="1">
        <v>22665731</v>
      </c>
      <c r="E37" s="5">
        <v>23382244</v>
      </c>
      <c r="F37" s="137">
        <v>14402428</v>
      </c>
      <c r="G37" s="142">
        <v>23390835</v>
      </c>
      <c r="H37" s="5">
        <v>26199184</v>
      </c>
      <c r="I37" s="5">
        <v>24632133</v>
      </c>
      <c r="J37" s="118">
        <v>23048081</v>
      </c>
      <c r="K37" s="5">
        <v>25250625</v>
      </c>
      <c r="L37" s="5"/>
      <c r="M37" s="154">
        <v>21852861</v>
      </c>
      <c r="N37" s="68" t="s">
        <v>21</v>
      </c>
      <c r="O37" s="85">
        <f>(O38-Q38)/Q38</f>
        <v>4.0528306887070591E-2</v>
      </c>
      <c r="P37" s="33"/>
      <c r="Q37" s="33"/>
    </row>
    <row r="38" spans="2:17" x14ac:dyDescent="0.25">
      <c r="B38" s="21"/>
      <c r="C38" s="14" t="s">
        <v>4</v>
      </c>
      <c r="D38" s="18">
        <f>($S5*D37)+D36</f>
        <v>50751.731</v>
      </c>
      <c r="E38" s="18">
        <f t="shared" ref="E38:M38" si="8">($S5*E37)+E36</f>
        <v>50606.243999999999</v>
      </c>
      <c r="F38" s="140">
        <f t="shared" si="8"/>
        <v>31410.428</v>
      </c>
      <c r="G38" s="143">
        <f t="shared" si="8"/>
        <v>42480.834999999999</v>
      </c>
      <c r="H38" s="18">
        <f t="shared" si="8"/>
        <v>51138.184000000001</v>
      </c>
      <c r="I38" s="18">
        <f t="shared" si="8"/>
        <v>57070.133000000002</v>
      </c>
      <c r="J38" s="18">
        <f>($S5*J37)+J36</f>
        <v>55509.081000000006</v>
      </c>
      <c r="K38" s="18">
        <f t="shared" si="8"/>
        <v>55555.625</v>
      </c>
      <c r="L38" s="18"/>
      <c r="M38" s="155">
        <f t="shared" si="8"/>
        <v>42543.861000000004</v>
      </c>
      <c r="N38" s="70"/>
      <c r="O38" s="18">
        <f>SMALL(D38:M38,1)</f>
        <v>31410.428</v>
      </c>
      <c r="P38" s="18">
        <v>33340</v>
      </c>
      <c r="Q38" s="18">
        <v>30187</v>
      </c>
    </row>
    <row r="39" spans="2:17" x14ac:dyDescent="0.25">
      <c r="B39" s="22"/>
      <c r="C39" s="3" t="s">
        <v>3</v>
      </c>
      <c r="D39" s="4">
        <v>756</v>
      </c>
      <c r="E39" s="6">
        <v>1484</v>
      </c>
      <c r="F39" s="139"/>
      <c r="G39" s="144">
        <v>2914</v>
      </c>
      <c r="H39" s="6">
        <v>654</v>
      </c>
      <c r="I39" s="6">
        <v>1050</v>
      </c>
      <c r="J39" s="6">
        <v>855</v>
      </c>
      <c r="K39" s="6">
        <v>938</v>
      </c>
      <c r="L39" s="6"/>
      <c r="M39" s="156">
        <v>292</v>
      </c>
      <c r="N39" s="71"/>
      <c r="O39" s="36"/>
      <c r="P39" s="36">
        <v>300</v>
      </c>
      <c r="Q39" s="36">
        <v>3600</v>
      </c>
    </row>
    <row r="40" spans="2:17" x14ac:dyDescent="0.25">
      <c r="B40" s="26">
        <v>10</v>
      </c>
      <c r="C40" s="8" t="s">
        <v>1</v>
      </c>
      <c r="D40" s="9">
        <v>10491</v>
      </c>
      <c r="E40" s="10">
        <v>7173</v>
      </c>
      <c r="F40" s="127">
        <v>4325</v>
      </c>
      <c r="G40" s="146">
        <v>4476</v>
      </c>
      <c r="H40" s="10">
        <v>13788</v>
      </c>
      <c r="I40" s="10">
        <v>17264</v>
      </c>
      <c r="J40" s="10">
        <v>13812</v>
      </c>
      <c r="K40" s="10">
        <v>15870</v>
      </c>
      <c r="L40" s="10"/>
      <c r="M40" s="149">
        <v>6531</v>
      </c>
      <c r="N40" s="72" t="s">
        <v>22</v>
      </c>
      <c r="O40" s="82">
        <f>(O42-P42)/P42</f>
        <v>-0.82605174193548392</v>
      </c>
      <c r="P40" s="34"/>
      <c r="Q40" s="34"/>
    </row>
    <row r="41" spans="2:17" x14ac:dyDescent="0.25">
      <c r="B41" s="23"/>
      <c r="C41" s="8" t="s">
        <v>2</v>
      </c>
      <c r="D41" s="9">
        <v>24667726</v>
      </c>
      <c r="E41" s="10">
        <v>21406858</v>
      </c>
      <c r="F41" s="127">
        <v>15896485</v>
      </c>
      <c r="G41" s="146">
        <v>20411336</v>
      </c>
      <c r="H41" s="10">
        <v>21614023</v>
      </c>
      <c r="I41" s="10">
        <v>25266324</v>
      </c>
      <c r="J41" s="10">
        <v>24077472</v>
      </c>
      <c r="K41" s="10">
        <v>24303705</v>
      </c>
      <c r="L41" s="10"/>
      <c r="M41" s="149">
        <v>20613966</v>
      </c>
      <c r="N41" s="72" t="s">
        <v>21</v>
      </c>
      <c r="O41" s="83">
        <f>(O42-Q42)/Q42</f>
        <v>0.20653251789976138</v>
      </c>
      <c r="P41" s="34"/>
      <c r="Q41" s="34"/>
    </row>
    <row r="42" spans="2:17" x14ac:dyDescent="0.25">
      <c r="B42" s="23"/>
      <c r="C42" s="15" t="s">
        <v>4</v>
      </c>
      <c r="D42" s="17">
        <f>($S5*D41)+D40</f>
        <v>35158.725999999995</v>
      </c>
      <c r="E42" s="17">
        <f t="shared" ref="E42:M42" si="9">($S5*E41)+E40</f>
        <v>28579.858</v>
      </c>
      <c r="F42" s="128">
        <f t="shared" si="9"/>
        <v>20221.485000000001</v>
      </c>
      <c r="G42" s="147">
        <f t="shared" si="9"/>
        <v>24887.335999999999</v>
      </c>
      <c r="H42" s="17">
        <f t="shared" si="9"/>
        <v>35402.023000000001</v>
      </c>
      <c r="I42" s="17">
        <f t="shared" si="9"/>
        <v>42530.324000000001</v>
      </c>
      <c r="J42" s="17">
        <f t="shared" si="9"/>
        <v>37889.472000000002</v>
      </c>
      <c r="K42" s="17">
        <f t="shared" si="9"/>
        <v>40173.705000000002</v>
      </c>
      <c r="L42" s="17"/>
      <c r="M42" s="150">
        <f t="shared" si="9"/>
        <v>27144.966</v>
      </c>
      <c r="N42" s="73"/>
      <c r="O42" s="17">
        <f>SMALL(D42:M42,1)</f>
        <v>20221.485000000001</v>
      </c>
      <c r="P42" s="17">
        <v>116250</v>
      </c>
      <c r="Q42" s="17">
        <v>16760</v>
      </c>
    </row>
    <row r="43" spans="2:17" x14ac:dyDescent="0.25">
      <c r="B43" s="27"/>
      <c r="C43" s="28" t="s">
        <v>3</v>
      </c>
      <c r="D43" s="29">
        <v>700</v>
      </c>
      <c r="E43" s="30">
        <v>1198</v>
      </c>
      <c r="F43" s="141"/>
      <c r="G43" s="158">
        <v>2787</v>
      </c>
      <c r="H43" s="30">
        <v>721</v>
      </c>
      <c r="I43" s="30">
        <v>781</v>
      </c>
      <c r="J43" s="30">
        <v>837</v>
      </c>
      <c r="K43" s="30">
        <v>801</v>
      </c>
      <c r="L43" s="30"/>
      <c r="M43" s="157">
        <v>363</v>
      </c>
      <c r="N43" s="80"/>
      <c r="O43" s="35"/>
      <c r="P43" s="35">
        <v>300</v>
      </c>
      <c r="Q43" s="35">
        <v>3600</v>
      </c>
    </row>
    <row r="45" spans="2:17" x14ac:dyDescent="0.25">
      <c r="D45" t="s">
        <v>28</v>
      </c>
    </row>
    <row r="46" spans="2:17" x14ac:dyDescent="0.25">
      <c r="D46" t="s">
        <v>29</v>
      </c>
    </row>
    <row r="47" spans="2:17" x14ac:dyDescent="0.25">
      <c r="D47" t="s">
        <v>30</v>
      </c>
    </row>
  </sheetData>
  <mergeCells count="3">
    <mergeCell ref="B3:C3"/>
    <mergeCell ref="B2:C2"/>
    <mergeCell ref="N3:O3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3"/>
  <sheetViews>
    <sheetView tabSelected="1" workbookViewId="0">
      <selection activeCell="C6" sqref="C6"/>
    </sheetView>
  </sheetViews>
  <sheetFormatPr defaultRowHeight="15" x14ac:dyDescent="0.25"/>
  <cols>
    <col min="1" max="1" width="2" customWidth="1"/>
    <col min="2" max="2" width="5.28515625" customWidth="1"/>
    <col min="18" max="18" width="24.28515625" customWidth="1"/>
  </cols>
  <sheetData>
    <row r="2" spans="2:18" x14ac:dyDescent="0.25">
      <c r="B2" s="168" t="s">
        <v>23</v>
      </c>
      <c r="C2" s="168"/>
      <c r="D2" s="59">
        <v>1</v>
      </c>
      <c r="E2" s="59">
        <v>2</v>
      </c>
      <c r="F2" s="59">
        <v>3</v>
      </c>
      <c r="G2" s="59">
        <v>4</v>
      </c>
      <c r="H2" s="59" t="s">
        <v>20</v>
      </c>
      <c r="I2" s="59" t="s">
        <v>20</v>
      </c>
      <c r="J2" s="59" t="s">
        <v>20</v>
      </c>
      <c r="K2" s="59" t="s">
        <v>20</v>
      </c>
      <c r="L2" s="59" t="s">
        <v>20</v>
      </c>
      <c r="M2" s="59" t="s">
        <v>20</v>
      </c>
      <c r="N2" s="40"/>
      <c r="P2" s="39" t="s">
        <v>10</v>
      </c>
      <c r="Q2" s="39" t="s">
        <v>9</v>
      </c>
    </row>
    <row r="3" spans="2:18" x14ac:dyDescent="0.25">
      <c r="B3" s="167" t="s">
        <v>17</v>
      </c>
      <c r="C3" s="167"/>
      <c r="D3" s="7">
        <v>1</v>
      </c>
      <c r="E3" s="7">
        <v>2</v>
      </c>
      <c r="F3" s="7">
        <v>3</v>
      </c>
      <c r="G3" s="7">
        <v>4</v>
      </c>
      <c r="H3" s="7">
        <v>5</v>
      </c>
      <c r="I3" s="7">
        <v>6</v>
      </c>
      <c r="J3" s="7">
        <v>7</v>
      </c>
      <c r="K3" s="7">
        <v>8</v>
      </c>
      <c r="L3" s="7">
        <v>9</v>
      </c>
      <c r="M3" s="7">
        <v>10</v>
      </c>
      <c r="N3" s="165" t="s">
        <v>7</v>
      </c>
      <c r="O3" s="166"/>
      <c r="P3" s="7" t="s">
        <v>8</v>
      </c>
      <c r="Q3" s="38" t="s">
        <v>8</v>
      </c>
      <c r="R3" s="49" t="s">
        <v>5</v>
      </c>
    </row>
    <row r="4" spans="2:18" x14ac:dyDescent="0.25">
      <c r="B4" s="21">
        <v>1</v>
      </c>
      <c r="C4" t="s">
        <v>1</v>
      </c>
      <c r="D4" s="92">
        <v>38214</v>
      </c>
      <c r="E4" s="5">
        <v>52123</v>
      </c>
      <c r="F4" s="5">
        <v>36573</v>
      </c>
      <c r="G4" s="5">
        <v>55483</v>
      </c>
      <c r="H4" s="5">
        <v>36745</v>
      </c>
      <c r="I4" s="5">
        <v>999999</v>
      </c>
      <c r="J4" s="5">
        <v>999999</v>
      </c>
      <c r="K4" s="5">
        <v>999999</v>
      </c>
      <c r="L4" s="5">
        <v>999999</v>
      </c>
      <c r="M4" s="5">
        <v>999999</v>
      </c>
      <c r="N4" s="62" t="s">
        <v>22</v>
      </c>
      <c r="O4" s="60">
        <f>(O6-P6)/P6</f>
        <v>-3.2551667074110988E-2</v>
      </c>
      <c r="P4" s="5"/>
      <c r="Q4" s="1"/>
      <c r="R4" s="44" t="s">
        <v>6</v>
      </c>
    </row>
    <row r="5" spans="2:18" x14ac:dyDescent="0.25">
      <c r="B5" s="21"/>
      <c r="C5" s="2" t="s">
        <v>2</v>
      </c>
      <c r="D5" s="1">
        <v>14586698</v>
      </c>
      <c r="E5" s="5">
        <v>17867732</v>
      </c>
      <c r="F5" s="5">
        <v>15509782</v>
      </c>
      <c r="G5" s="5">
        <v>17211492</v>
      </c>
      <c r="H5" s="5">
        <v>14701404</v>
      </c>
      <c r="I5" s="5"/>
      <c r="J5" s="5"/>
      <c r="K5" s="5"/>
      <c r="L5" s="5"/>
      <c r="M5" s="5"/>
      <c r="N5" s="62" t="s">
        <v>21</v>
      </c>
      <c r="O5" s="61">
        <f>(O6-Q6)/Q6</f>
        <v>6.7477279329377096E-2</v>
      </c>
      <c r="P5" s="5"/>
      <c r="Q5" s="1"/>
      <c r="R5" s="45">
        <v>1E-3</v>
      </c>
    </row>
    <row r="6" spans="2:18" x14ac:dyDescent="0.25">
      <c r="B6" s="21"/>
      <c r="C6" s="14" t="s">
        <v>4</v>
      </c>
      <c r="D6" s="16">
        <f>TRUNC(($R5*D5)+D4,0)</f>
        <v>52800</v>
      </c>
      <c r="E6" s="16">
        <f t="shared" ref="E6:M6" si="0">TRUNC(($R5*E5)+E4,0)</f>
        <v>69990</v>
      </c>
      <c r="F6" s="16">
        <f t="shared" si="0"/>
        <v>52082</v>
      </c>
      <c r="G6" s="16">
        <f t="shared" si="0"/>
        <v>72694</v>
      </c>
      <c r="H6" s="16">
        <f t="shared" si="0"/>
        <v>51446</v>
      </c>
      <c r="I6" s="16">
        <f t="shared" si="0"/>
        <v>999999</v>
      </c>
      <c r="J6" s="16">
        <f t="shared" si="0"/>
        <v>999999</v>
      </c>
      <c r="K6" s="16">
        <f t="shared" si="0"/>
        <v>999999</v>
      </c>
      <c r="L6" s="16">
        <f t="shared" si="0"/>
        <v>999999</v>
      </c>
      <c r="M6" s="16">
        <f t="shared" si="0"/>
        <v>999999</v>
      </c>
      <c r="N6" s="87"/>
      <c r="O6" s="16">
        <f>SMALL(D6:M6,1)</f>
        <v>51446</v>
      </c>
      <c r="P6" s="5">
        <v>53177</v>
      </c>
      <c r="Q6" s="16">
        <v>48194</v>
      </c>
    </row>
    <row r="7" spans="2:18" x14ac:dyDescent="0.25">
      <c r="B7" s="22"/>
      <c r="C7" s="3" t="s">
        <v>3</v>
      </c>
      <c r="D7" s="1">
        <v>216</v>
      </c>
      <c r="E7" s="6">
        <v>299</v>
      </c>
      <c r="F7" s="6">
        <v>210</v>
      </c>
      <c r="G7" s="6">
        <v>305</v>
      </c>
      <c r="H7" s="6">
        <v>209</v>
      </c>
      <c r="I7" s="6"/>
      <c r="J7" s="6"/>
      <c r="K7" s="6"/>
      <c r="L7" s="6"/>
      <c r="M7" s="6"/>
      <c r="N7" s="89"/>
      <c r="O7" s="19"/>
      <c r="P7" s="19">
        <v>300</v>
      </c>
      <c r="Q7" s="36">
        <v>3600</v>
      </c>
    </row>
    <row r="8" spans="2:18" x14ac:dyDescent="0.25">
      <c r="B8" s="23">
        <v>2</v>
      </c>
      <c r="C8" s="8" t="s">
        <v>1</v>
      </c>
      <c r="D8" s="94">
        <v>116425</v>
      </c>
      <c r="E8" s="10">
        <v>103379</v>
      </c>
      <c r="F8" s="10">
        <v>110816</v>
      </c>
      <c r="G8" s="10">
        <v>108756</v>
      </c>
      <c r="H8" s="10">
        <v>129286</v>
      </c>
      <c r="I8" s="10">
        <v>999999</v>
      </c>
      <c r="J8" s="10">
        <v>999999</v>
      </c>
      <c r="K8" s="10">
        <v>999999</v>
      </c>
      <c r="L8" s="10">
        <v>999999</v>
      </c>
      <c r="M8" s="10">
        <v>999999</v>
      </c>
      <c r="N8" s="90" t="s">
        <v>22</v>
      </c>
      <c r="O8" s="161">
        <f>(O10-P10)/P10</f>
        <v>-0.12667535163063878</v>
      </c>
      <c r="P8" s="10"/>
      <c r="Q8" s="34"/>
      <c r="R8" s="44" t="s">
        <v>26</v>
      </c>
    </row>
    <row r="9" spans="2:18" x14ac:dyDescent="0.25">
      <c r="B9" s="23"/>
      <c r="C9" s="8" t="s">
        <v>2</v>
      </c>
      <c r="D9" s="95">
        <v>18181299</v>
      </c>
      <c r="E9" s="10">
        <v>15277628</v>
      </c>
      <c r="F9" s="10">
        <v>17919065</v>
      </c>
      <c r="G9" s="10">
        <v>14812980</v>
      </c>
      <c r="H9" s="10">
        <v>15232610</v>
      </c>
      <c r="I9" s="10"/>
      <c r="J9" s="10"/>
      <c r="K9" s="10"/>
      <c r="L9" s="10"/>
      <c r="M9" s="10"/>
      <c r="N9" s="90" t="s">
        <v>21</v>
      </c>
      <c r="O9" s="161">
        <f>(O10-Q10)/Q10</f>
        <v>4.9700100851041241E-2</v>
      </c>
      <c r="P9" s="10"/>
      <c r="Q9" s="34"/>
      <c r="R9" s="159">
        <f>AVERAGE(O4,O8,O12,O16,O20,O24,O28,O32,O36,O40)</f>
        <v>1.1637304052348318E-2</v>
      </c>
    </row>
    <row r="10" spans="2:18" x14ac:dyDescent="0.25">
      <c r="B10" s="23"/>
      <c r="C10" s="15" t="s">
        <v>4</v>
      </c>
      <c r="D10" s="96">
        <f>TRUNC(($R5*D9)+D8,0)</f>
        <v>134606</v>
      </c>
      <c r="E10" s="17">
        <f t="shared" ref="E10:M10" si="1">TRUNC(($R5*E9)+E8,0)</f>
        <v>118656</v>
      </c>
      <c r="F10" s="17">
        <f t="shared" si="1"/>
        <v>128735</v>
      </c>
      <c r="G10" s="17">
        <f t="shared" si="1"/>
        <v>123568</v>
      </c>
      <c r="H10" s="17">
        <f t="shared" si="1"/>
        <v>144518</v>
      </c>
      <c r="I10" s="17">
        <f t="shared" si="1"/>
        <v>999999</v>
      </c>
      <c r="J10" s="17">
        <f t="shared" si="1"/>
        <v>999999</v>
      </c>
      <c r="K10" s="17">
        <f t="shared" si="1"/>
        <v>999999</v>
      </c>
      <c r="L10" s="17">
        <f t="shared" si="1"/>
        <v>999999</v>
      </c>
      <c r="M10" s="17">
        <f t="shared" si="1"/>
        <v>999999</v>
      </c>
      <c r="N10" s="88"/>
      <c r="O10" s="17">
        <f>SMALL(D10:M10,1)</f>
        <v>118656</v>
      </c>
      <c r="P10" s="10">
        <v>135867</v>
      </c>
      <c r="Q10" s="17">
        <v>113038</v>
      </c>
    </row>
    <row r="11" spans="2:18" x14ac:dyDescent="0.25">
      <c r="B11" s="24"/>
      <c r="C11" s="11" t="s">
        <v>3</v>
      </c>
      <c r="D11" s="97">
        <v>239</v>
      </c>
      <c r="E11" s="13">
        <v>271</v>
      </c>
      <c r="F11" s="13">
        <v>209</v>
      </c>
      <c r="G11" s="13">
        <v>290</v>
      </c>
      <c r="H11" s="13">
        <v>326</v>
      </c>
      <c r="I11" s="13"/>
      <c r="J11" s="13"/>
      <c r="K11" s="13"/>
      <c r="L11" s="13"/>
      <c r="M11" s="13"/>
      <c r="N11" s="91"/>
      <c r="O11" s="20"/>
      <c r="P11" s="20">
        <v>300</v>
      </c>
      <c r="Q11" s="37">
        <v>3600</v>
      </c>
      <c r="R11" s="44" t="s">
        <v>27</v>
      </c>
    </row>
    <row r="12" spans="2:18" x14ac:dyDescent="0.25">
      <c r="B12" s="25">
        <v>3</v>
      </c>
      <c r="C12" s="2" t="s">
        <v>1</v>
      </c>
      <c r="D12" s="93">
        <v>42843</v>
      </c>
      <c r="E12" s="5">
        <v>42097</v>
      </c>
      <c r="F12" s="5">
        <v>45523</v>
      </c>
      <c r="G12" s="5">
        <v>46772</v>
      </c>
      <c r="H12" s="5">
        <v>43248</v>
      </c>
      <c r="I12" s="5">
        <v>999999</v>
      </c>
      <c r="J12" s="5">
        <v>999999</v>
      </c>
      <c r="K12" s="5">
        <v>999999</v>
      </c>
      <c r="L12" s="5">
        <v>999999</v>
      </c>
      <c r="M12" s="5">
        <v>999999</v>
      </c>
      <c r="N12" s="62" t="s">
        <v>22</v>
      </c>
      <c r="O12" s="61">
        <f>(O14-P14)/P14</f>
        <v>7.9165040242383689E-2</v>
      </c>
      <c r="P12" s="5"/>
      <c r="Q12" s="33"/>
      <c r="R12" s="159">
        <f>AVERAGE(O5,O13,O17,O21,O25,O29,O33,O37,O41)</f>
        <v>0.20178501469482507</v>
      </c>
    </row>
    <row r="13" spans="2:18" x14ac:dyDescent="0.25">
      <c r="B13" s="21"/>
      <c r="C13" s="2" t="s">
        <v>2</v>
      </c>
      <c r="D13" s="1">
        <v>15270131</v>
      </c>
      <c r="E13" s="5">
        <v>15961360</v>
      </c>
      <c r="F13" s="5">
        <v>18087786</v>
      </c>
      <c r="G13" s="5">
        <v>16974760</v>
      </c>
      <c r="H13" s="5">
        <v>15953661</v>
      </c>
      <c r="I13" s="5"/>
      <c r="J13" s="5"/>
      <c r="K13" s="5"/>
      <c r="L13" s="5"/>
      <c r="M13" s="5"/>
      <c r="N13" s="62" t="s">
        <v>21</v>
      </c>
      <c r="O13" s="61">
        <f>(O14-Q14)/Q14</f>
        <v>0.13217628705148207</v>
      </c>
      <c r="P13" s="5"/>
      <c r="Q13" s="33"/>
    </row>
    <row r="14" spans="2:18" x14ac:dyDescent="0.25">
      <c r="B14" s="21"/>
      <c r="C14" s="14" t="s">
        <v>4</v>
      </c>
      <c r="D14" s="18">
        <f>TRUNC(($R5*D13)+D12,0)</f>
        <v>58113</v>
      </c>
      <c r="E14" s="18">
        <f t="shared" ref="E14:M14" si="2">TRUNC(($R5*E13)+E12,0)</f>
        <v>58058</v>
      </c>
      <c r="F14" s="18">
        <f t="shared" si="2"/>
        <v>63610</v>
      </c>
      <c r="G14" s="18">
        <f t="shared" si="2"/>
        <v>63746</v>
      </c>
      <c r="H14" s="18">
        <f t="shared" si="2"/>
        <v>59201</v>
      </c>
      <c r="I14" s="18">
        <f t="shared" si="2"/>
        <v>999999</v>
      </c>
      <c r="J14" s="18">
        <f t="shared" si="2"/>
        <v>999999</v>
      </c>
      <c r="K14" s="18">
        <f t="shared" si="2"/>
        <v>999999</v>
      </c>
      <c r="L14" s="18">
        <f t="shared" si="2"/>
        <v>999999</v>
      </c>
      <c r="M14" s="18">
        <f t="shared" si="2"/>
        <v>999999</v>
      </c>
      <c r="N14" s="87"/>
      <c r="O14" s="18">
        <f>SMALL(D14:M14,1)</f>
        <v>58058</v>
      </c>
      <c r="P14" s="5">
        <v>53799</v>
      </c>
      <c r="Q14" s="18">
        <v>51280</v>
      </c>
    </row>
    <row r="15" spans="2:18" x14ac:dyDescent="0.25">
      <c r="B15" s="22"/>
      <c r="C15" s="3" t="s">
        <v>3</v>
      </c>
      <c r="D15" s="1">
        <v>196</v>
      </c>
      <c r="E15" s="6">
        <v>303</v>
      </c>
      <c r="F15" s="6">
        <v>203</v>
      </c>
      <c r="G15" s="6">
        <v>224</v>
      </c>
      <c r="H15" s="6">
        <v>238</v>
      </c>
      <c r="I15" s="6"/>
      <c r="J15" s="6"/>
      <c r="K15" s="6"/>
      <c r="L15" s="6"/>
      <c r="M15" s="6"/>
      <c r="N15" s="89"/>
      <c r="O15" s="19"/>
      <c r="P15" s="19">
        <v>300</v>
      </c>
      <c r="Q15" s="36">
        <v>3600</v>
      </c>
    </row>
    <row r="16" spans="2:18" x14ac:dyDescent="0.25">
      <c r="B16" s="26">
        <v>4</v>
      </c>
      <c r="C16" s="8" t="s">
        <v>1</v>
      </c>
      <c r="D16" s="94">
        <v>139498</v>
      </c>
      <c r="E16" s="10">
        <v>148691</v>
      </c>
      <c r="F16" s="10">
        <v>138913</v>
      </c>
      <c r="G16" s="10">
        <v>128434</v>
      </c>
      <c r="H16" s="10">
        <v>150356</v>
      </c>
      <c r="I16" s="10">
        <v>999999</v>
      </c>
      <c r="J16" s="10">
        <v>999999</v>
      </c>
      <c r="K16" s="10">
        <v>999999</v>
      </c>
      <c r="L16" s="10">
        <v>999999</v>
      </c>
      <c r="M16" s="10">
        <v>999999</v>
      </c>
      <c r="N16" s="90" t="s">
        <v>22</v>
      </c>
      <c r="O16" s="161">
        <f>(O18-P18)/P18</f>
        <v>-7.8137685467528403E-2</v>
      </c>
      <c r="P16" s="10"/>
      <c r="Q16" s="34"/>
    </row>
    <row r="17" spans="2:17" x14ac:dyDescent="0.25">
      <c r="B17" s="23"/>
      <c r="C17" s="8" t="s">
        <v>2</v>
      </c>
      <c r="D17" s="95">
        <v>17194677</v>
      </c>
      <c r="E17" s="10">
        <v>16928870</v>
      </c>
      <c r="F17" s="10">
        <v>15680342</v>
      </c>
      <c r="G17" s="10">
        <v>15772488</v>
      </c>
      <c r="H17" s="10">
        <v>17284760</v>
      </c>
      <c r="I17" s="10"/>
      <c r="J17" s="10"/>
      <c r="K17" s="10"/>
      <c r="L17" s="10"/>
      <c r="M17" s="10"/>
      <c r="N17" s="90" t="s">
        <v>21</v>
      </c>
      <c r="O17" s="161">
        <f>(O18-Q18)/Q18</f>
        <v>8.8074601075923253E-3</v>
      </c>
      <c r="P17" s="10"/>
      <c r="Q17" s="34"/>
    </row>
    <row r="18" spans="2:17" x14ac:dyDescent="0.25">
      <c r="B18" s="23"/>
      <c r="C18" s="15" t="s">
        <v>4</v>
      </c>
      <c r="D18" s="96">
        <f>TRUNC(($R5*D17)+D16,0)</f>
        <v>156692</v>
      </c>
      <c r="E18" s="17">
        <f t="shared" ref="E18:M18" si="3">TRUNC(($R5*E17)+E16,0)</f>
        <v>165619</v>
      </c>
      <c r="F18" s="17">
        <f t="shared" si="3"/>
        <v>154593</v>
      </c>
      <c r="G18" s="17">
        <f t="shared" si="3"/>
        <v>144206</v>
      </c>
      <c r="H18" s="17">
        <f t="shared" si="3"/>
        <v>167640</v>
      </c>
      <c r="I18" s="17">
        <f t="shared" si="3"/>
        <v>999999</v>
      </c>
      <c r="J18" s="17">
        <f t="shared" si="3"/>
        <v>999999</v>
      </c>
      <c r="K18" s="17">
        <f t="shared" si="3"/>
        <v>999999</v>
      </c>
      <c r="L18" s="17">
        <f t="shared" si="3"/>
        <v>999999</v>
      </c>
      <c r="M18" s="17">
        <f t="shared" si="3"/>
        <v>999999</v>
      </c>
      <c r="N18" s="88"/>
      <c r="O18" s="17">
        <f>SMALL(D18:M18,1)</f>
        <v>144206</v>
      </c>
      <c r="P18" s="10">
        <v>156429</v>
      </c>
      <c r="Q18" s="17">
        <v>142947</v>
      </c>
    </row>
    <row r="19" spans="2:17" x14ac:dyDescent="0.25">
      <c r="B19" s="24"/>
      <c r="C19" s="11" t="s">
        <v>3</v>
      </c>
      <c r="D19" s="97">
        <v>191</v>
      </c>
      <c r="E19" s="13">
        <v>220</v>
      </c>
      <c r="F19" s="13">
        <v>207</v>
      </c>
      <c r="G19" s="13">
        <v>268</v>
      </c>
      <c r="H19" s="13">
        <v>216</v>
      </c>
      <c r="I19" s="13"/>
      <c r="J19" s="13"/>
      <c r="K19" s="13"/>
      <c r="L19" s="13"/>
      <c r="M19" s="13"/>
      <c r="N19" s="91"/>
      <c r="O19" s="20"/>
      <c r="P19" s="20">
        <v>300</v>
      </c>
      <c r="Q19" s="37">
        <v>3600</v>
      </c>
    </row>
    <row r="20" spans="2:17" x14ac:dyDescent="0.25">
      <c r="B20" s="25">
        <v>5</v>
      </c>
      <c r="C20" s="2" t="s">
        <v>1</v>
      </c>
      <c r="D20" s="93">
        <v>49209</v>
      </c>
      <c r="E20" s="5">
        <v>42906</v>
      </c>
      <c r="F20" s="5">
        <v>51004</v>
      </c>
      <c r="G20" s="5">
        <v>43856</v>
      </c>
      <c r="H20" s="5">
        <v>53430</v>
      </c>
      <c r="I20" s="5">
        <v>999999</v>
      </c>
      <c r="J20" s="5">
        <v>999999</v>
      </c>
      <c r="K20" s="5">
        <v>999999</v>
      </c>
      <c r="L20" s="5">
        <v>999999</v>
      </c>
      <c r="M20" s="5">
        <v>999999</v>
      </c>
      <c r="N20" s="62" t="s">
        <v>22</v>
      </c>
      <c r="O20" s="61">
        <f>(O22-P22)/P22</f>
        <v>0.1852152391771818</v>
      </c>
      <c r="P20" s="5"/>
      <c r="Q20" s="33"/>
    </row>
    <row r="21" spans="2:17" x14ac:dyDescent="0.25">
      <c r="B21" s="21"/>
      <c r="C21" s="2" t="s">
        <v>2</v>
      </c>
      <c r="D21" s="1">
        <v>14945571</v>
      </c>
      <c r="E21" s="5">
        <v>15518843</v>
      </c>
      <c r="F21" s="5">
        <v>14750691</v>
      </c>
      <c r="G21" s="5">
        <v>16060368</v>
      </c>
      <c r="H21" s="5">
        <v>16505642</v>
      </c>
      <c r="I21" s="5"/>
      <c r="J21" s="5"/>
      <c r="K21" s="5"/>
      <c r="L21" s="5"/>
      <c r="M21" s="5"/>
      <c r="N21" s="62" t="s">
        <v>21</v>
      </c>
      <c r="O21" s="61">
        <f>(O22-Q22)/Q22</f>
        <v>0.33849572727897548</v>
      </c>
      <c r="P21" s="5"/>
      <c r="Q21" s="33"/>
    </row>
    <row r="22" spans="2:17" x14ac:dyDescent="0.25">
      <c r="B22" s="21"/>
      <c r="C22" s="14" t="s">
        <v>4</v>
      </c>
      <c r="D22" s="18">
        <f>TRUNC(($R5*D21)+D20,0)</f>
        <v>64154</v>
      </c>
      <c r="E22" s="18">
        <f t="shared" ref="E22:M22" si="4">TRUNC(($R5*E21)+E20,0)</f>
        <v>58424</v>
      </c>
      <c r="F22" s="18">
        <f t="shared" si="4"/>
        <v>65754</v>
      </c>
      <c r="G22" s="18">
        <f t="shared" si="4"/>
        <v>59916</v>
      </c>
      <c r="H22" s="18">
        <f t="shared" si="4"/>
        <v>69935</v>
      </c>
      <c r="I22" s="18">
        <f t="shared" si="4"/>
        <v>999999</v>
      </c>
      <c r="J22" s="18">
        <f t="shared" si="4"/>
        <v>999999</v>
      </c>
      <c r="K22" s="18">
        <f t="shared" si="4"/>
        <v>999999</v>
      </c>
      <c r="L22" s="18">
        <f t="shared" si="4"/>
        <v>999999</v>
      </c>
      <c r="M22" s="18">
        <f t="shared" si="4"/>
        <v>999999</v>
      </c>
      <c r="N22" s="87"/>
      <c r="O22" s="18">
        <f>SMALL(D22:M22,1)</f>
        <v>58424</v>
      </c>
      <c r="P22" s="5">
        <v>49294</v>
      </c>
      <c r="Q22" s="18">
        <v>43649</v>
      </c>
    </row>
    <row r="23" spans="2:17" x14ac:dyDescent="0.25">
      <c r="B23" s="22"/>
      <c r="C23" s="3" t="s">
        <v>3</v>
      </c>
      <c r="D23" s="1">
        <v>270</v>
      </c>
      <c r="E23" s="6">
        <v>197</v>
      </c>
      <c r="F23" s="6">
        <v>283</v>
      </c>
      <c r="G23" s="6">
        <v>206</v>
      </c>
      <c r="H23" s="6">
        <v>243</v>
      </c>
      <c r="I23" s="6"/>
      <c r="J23" s="6"/>
      <c r="K23" s="6"/>
      <c r="L23" s="6"/>
      <c r="M23" s="6"/>
      <c r="N23" s="89"/>
      <c r="O23" s="19"/>
      <c r="P23" s="19">
        <v>300</v>
      </c>
      <c r="Q23" s="36">
        <v>3600</v>
      </c>
    </row>
    <row r="24" spans="2:17" x14ac:dyDescent="0.25">
      <c r="B24" s="23">
        <v>6</v>
      </c>
      <c r="C24" s="8" t="s">
        <v>1</v>
      </c>
      <c r="D24" s="94">
        <v>82183</v>
      </c>
      <c r="E24" s="10">
        <v>88505</v>
      </c>
      <c r="F24" s="10">
        <v>82966</v>
      </c>
      <c r="G24" s="10">
        <v>80796</v>
      </c>
      <c r="H24" s="10">
        <v>87722</v>
      </c>
      <c r="I24" s="10">
        <v>999999</v>
      </c>
      <c r="J24" s="10">
        <v>999999</v>
      </c>
      <c r="K24" s="10">
        <v>999999</v>
      </c>
      <c r="L24" s="10">
        <v>999999</v>
      </c>
      <c r="M24" s="10">
        <v>999999</v>
      </c>
      <c r="N24" s="90" t="s">
        <v>22</v>
      </c>
      <c r="O24" s="161">
        <f>(O26-P26)/P26</f>
        <v>-9.8218911002062717E-2</v>
      </c>
      <c r="P24" s="10"/>
      <c r="Q24" s="34"/>
    </row>
    <row r="25" spans="2:17" x14ac:dyDescent="0.25">
      <c r="B25" s="23"/>
      <c r="C25" s="8" t="s">
        <v>2</v>
      </c>
      <c r="D25" s="95">
        <v>16027107</v>
      </c>
      <c r="E25" s="10">
        <v>16126879</v>
      </c>
      <c r="F25" s="10">
        <v>15852690</v>
      </c>
      <c r="G25" s="10">
        <v>14947495</v>
      </c>
      <c r="H25" s="10">
        <v>15654646</v>
      </c>
      <c r="I25" s="10"/>
      <c r="J25" s="10"/>
      <c r="K25" s="10"/>
      <c r="L25" s="10"/>
      <c r="M25" s="10"/>
      <c r="N25" s="90" t="s">
        <v>21</v>
      </c>
      <c r="O25" s="161">
        <f>(O26-Q26)/Q26</f>
        <v>-5.2940303674761366E-2</v>
      </c>
      <c r="P25" s="10"/>
      <c r="Q25" s="34"/>
    </row>
    <row r="26" spans="2:17" x14ac:dyDescent="0.25">
      <c r="B26" s="23"/>
      <c r="C26" s="15" t="s">
        <v>4</v>
      </c>
      <c r="D26" s="96">
        <f>TRUNC(($R5*D25)+D24,0)</f>
        <v>98210</v>
      </c>
      <c r="E26" s="17">
        <f t="shared" ref="E26:M26" si="5">TRUNC(($R5*E25)+E24,0)</f>
        <v>104631</v>
      </c>
      <c r="F26" s="17">
        <f t="shared" si="5"/>
        <v>98818</v>
      </c>
      <c r="G26" s="17">
        <f t="shared" si="5"/>
        <v>95743</v>
      </c>
      <c r="H26" s="17">
        <f t="shared" si="5"/>
        <v>103376</v>
      </c>
      <c r="I26" s="17">
        <f t="shared" si="5"/>
        <v>999999</v>
      </c>
      <c r="J26" s="17">
        <f t="shared" si="5"/>
        <v>999999</v>
      </c>
      <c r="K26" s="17">
        <f t="shared" si="5"/>
        <v>999999</v>
      </c>
      <c r="L26" s="17">
        <f t="shared" si="5"/>
        <v>999999</v>
      </c>
      <c r="M26" s="17">
        <f t="shared" si="5"/>
        <v>999999</v>
      </c>
      <c r="N26" s="88"/>
      <c r="O26" s="162">
        <f>SMALL(D26:M26,1)</f>
        <v>95743</v>
      </c>
      <c r="P26" s="10">
        <v>106171</v>
      </c>
      <c r="Q26" s="17">
        <v>101095</v>
      </c>
    </row>
    <row r="27" spans="2:17" x14ac:dyDescent="0.25">
      <c r="B27" s="24"/>
      <c r="C27" s="11" t="s">
        <v>3</v>
      </c>
      <c r="D27" s="97">
        <v>193</v>
      </c>
      <c r="E27" s="13">
        <v>195</v>
      </c>
      <c r="F27" s="13">
        <v>209</v>
      </c>
      <c r="G27" s="13">
        <v>206</v>
      </c>
      <c r="H27" s="13">
        <v>288</v>
      </c>
      <c r="I27" s="13"/>
      <c r="J27" s="13"/>
      <c r="K27" s="13"/>
      <c r="L27" s="13"/>
      <c r="M27" s="13"/>
      <c r="N27" s="91"/>
      <c r="O27" s="20"/>
      <c r="P27" s="20">
        <v>300</v>
      </c>
      <c r="Q27" s="37">
        <v>3600</v>
      </c>
    </row>
    <row r="28" spans="2:17" x14ac:dyDescent="0.25">
      <c r="B28" s="25">
        <v>7</v>
      </c>
      <c r="C28" s="2" t="s">
        <v>1</v>
      </c>
      <c r="D28" s="93">
        <v>22500</v>
      </c>
      <c r="E28" s="5">
        <v>20081</v>
      </c>
      <c r="F28" s="5">
        <v>14952</v>
      </c>
      <c r="G28" s="5">
        <v>11429</v>
      </c>
      <c r="H28" s="5">
        <v>11574</v>
      </c>
      <c r="I28" s="5">
        <v>999999</v>
      </c>
      <c r="J28" s="5">
        <v>999999</v>
      </c>
      <c r="K28" s="5">
        <v>999999</v>
      </c>
      <c r="L28" s="5">
        <v>999999</v>
      </c>
      <c r="M28" s="5">
        <v>999999</v>
      </c>
      <c r="N28" s="62" t="s">
        <v>22</v>
      </c>
      <c r="O28" s="61">
        <f>(O30-P30)/P30</f>
        <v>-0.50221268865827973</v>
      </c>
      <c r="P28" s="5"/>
      <c r="Q28" s="33"/>
    </row>
    <row r="29" spans="2:17" x14ac:dyDescent="0.25">
      <c r="B29" s="21"/>
      <c r="C29" s="2" t="s">
        <v>2</v>
      </c>
      <c r="D29" s="1">
        <v>14634478</v>
      </c>
      <c r="E29" s="5">
        <v>13863659</v>
      </c>
      <c r="F29" s="5">
        <v>13606005</v>
      </c>
      <c r="G29" s="5">
        <v>14664207</v>
      </c>
      <c r="H29" s="5">
        <v>14185352</v>
      </c>
      <c r="I29" s="5"/>
      <c r="J29" s="5"/>
      <c r="K29" s="5"/>
      <c r="L29" s="5"/>
      <c r="M29" s="5"/>
      <c r="N29" s="62" t="s">
        <v>21</v>
      </c>
      <c r="O29" s="61">
        <f>(O30-Q30)/Q30</f>
        <v>0.22376359922086561</v>
      </c>
      <c r="P29" s="5"/>
      <c r="Q29" s="33"/>
    </row>
    <row r="30" spans="2:17" x14ac:dyDescent="0.25">
      <c r="B30" s="21"/>
      <c r="C30" s="14" t="s">
        <v>4</v>
      </c>
      <c r="D30" s="18">
        <f>TRUNC(($R5*D29)+D28,0)</f>
        <v>37134</v>
      </c>
      <c r="E30" s="18">
        <f t="shared" ref="E30:M30" si="6">TRUNC(($R5*E29)+E28,0)</f>
        <v>33944</v>
      </c>
      <c r="F30" s="18">
        <f t="shared" si="6"/>
        <v>28558</v>
      </c>
      <c r="G30" s="18">
        <f t="shared" si="6"/>
        <v>26093</v>
      </c>
      <c r="H30" s="18">
        <f t="shared" si="6"/>
        <v>25759</v>
      </c>
      <c r="I30" s="18">
        <f t="shared" si="6"/>
        <v>999999</v>
      </c>
      <c r="J30" s="18">
        <f t="shared" si="6"/>
        <v>999999</v>
      </c>
      <c r="K30" s="18">
        <f t="shared" si="6"/>
        <v>999999</v>
      </c>
      <c r="L30" s="18">
        <f t="shared" si="6"/>
        <v>999999</v>
      </c>
      <c r="M30" s="18">
        <f t="shared" si="6"/>
        <v>999999</v>
      </c>
      <c r="N30" s="87"/>
      <c r="O30" s="18">
        <f>SMALL(D30:M30,1)</f>
        <v>25759</v>
      </c>
      <c r="P30" s="5">
        <v>51747</v>
      </c>
      <c r="Q30" s="18">
        <v>21049</v>
      </c>
    </row>
    <row r="31" spans="2:17" x14ac:dyDescent="0.25">
      <c r="B31" s="22"/>
      <c r="C31" s="3" t="s">
        <v>3</v>
      </c>
      <c r="D31" s="1">
        <v>207</v>
      </c>
      <c r="E31" s="6">
        <v>195</v>
      </c>
      <c r="F31" s="6">
        <v>287</v>
      </c>
      <c r="G31" s="6">
        <v>205</v>
      </c>
      <c r="H31" s="6">
        <v>207</v>
      </c>
      <c r="I31" s="6"/>
      <c r="J31" s="6"/>
      <c r="K31" s="6"/>
      <c r="L31" s="6"/>
      <c r="M31" s="6"/>
      <c r="N31" s="89"/>
      <c r="O31" s="19"/>
      <c r="P31" s="19">
        <v>300</v>
      </c>
      <c r="Q31" s="36">
        <v>3600</v>
      </c>
    </row>
    <row r="32" spans="2:17" x14ac:dyDescent="0.25">
      <c r="B32" s="26">
        <v>8</v>
      </c>
      <c r="C32" s="8" t="s">
        <v>1</v>
      </c>
      <c r="D32" s="94">
        <v>210683</v>
      </c>
      <c r="E32" s="10">
        <v>184567</v>
      </c>
      <c r="F32" s="10">
        <v>164297</v>
      </c>
      <c r="G32" s="10">
        <v>180977</v>
      </c>
      <c r="H32" s="10">
        <v>176728</v>
      </c>
      <c r="I32" s="10">
        <v>999999</v>
      </c>
      <c r="J32" s="10">
        <v>999999</v>
      </c>
      <c r="K32" s="10">
        <v>999999</v>
      </c>
      <c r="L32" s="10">
        <v>999999</v>
      </c>
      <c r="M32" s="10">
        <v>999999</v>
      </c>
      <c r="N32" s="90" t="s">
        <v>22</v>
      </c>
      <c r="O32" s="161">
        <f>(O34-P34)/P34</f>
        <v>-4.8774082611542591E-2</v>
      </c>
      <c r="P32" s="10"/>
      <c r="Q32" s="34"/>
    </row>
    <row r="33" spans="2:17" x14ac:dyDescent="0.25">
      <c r="B33" s="23"/>
      <c r="C33" s="8" t="s">
        <v>2</v>
      </c>
      <c r="D33" s="95">
        <v>15769616</v>
      </c>
      <c r="E33" s="10">
        <v>16872150</v>
      </c>
      <c r="F33" s="10">
        <v>14384130</v>
      </c>
      <c r="G33" s="10">
        <v>16183560</v>
      </c>
      <c r="H33" s="10">
        <v>14326486</v>
      </c>
      <c r="I33" s="10"/>
      <c r="J33" s="10"/>
      <c r="K33" s="10"/>
      <c r="L33" s="10"/>
      <c r="M33" s="10"/>
      <c r="N33" s="90" t="s">
        <v>21</v>
      </c>
      <c r="O33" s="161">
        <f>(O34-Q34)/Q34</f>
        <v>9.3097332135816755E-3</v>
      </c>
      <c r="P33" s="10"/>
      <c r="Q33" s="34"/>
    </row>
    <row r="34" spans="2:17" x14ac:dyDescent="0.25">
      <c r="B34" s="23"/>
      <c r="C34" s="15" t="s">
        <v>4</v>
      </c>
      <c r="D34" s="96">
        <f>TRUNC(($R5*D33)+D32,0)</f>
        <v>226452</v>
      </c>
      <c r="E34" s="17">
        <f>TRUNC(($R5*E33)+E32,0)</f>
        <v>201439</v>
      </c>
      <c r="F34" s="17">
        <f t="shared" ref="F34:M34" si="7">($R5*F33)+F32</f>
        <v>178681.13</v>
      </c>
      <c r="G34" s="17">
        <f t="shared" si="7"/>
        <v>197160.56</v>
      </c>
      <c r="H34" s="17">
        <f t="shared" si="7"/>
        <v>191054.486</v>
      </c>
      <c r="I34" s="17">
        <f t="shared" si="7"/>
        <v>999999</v>
      </c>
      <c r="J34" s="17">
        <f t="shared" si="7"/>
        <v>999999</v>
      </c>
      <c r="K34" s="17">
        <f t="shared" si="7"/>
        <v>999999</v>
      </c>
      <c r="L34" s="17">
        <f t="shared" si="7"/>
        <v>999999</v>
      </c>
      <c r="M34" s="17">
        <f t="shared" si="7"/>
        <v>999999</v>
      </c>
      <c r="N34" s="88"/>
      <c r="O34" s="17">
        <f>SMALL(D34:M34,1)</f>
        <v>178681.13</v>
      </c>
      <c r="P34" s="10">
        <v>187843</v>
      </c>
      <c r="Q34" s="17">
        <v>177033</v>
      </c>
    </row>
    <row r="35" spans="2:17" x14ac:dyDescent="0.25">
      <c r="B35" s="24"/>
      <c r="C35" s="11" t="s">
        <v>3</v>
      </c>
      <c r="D35" s="97">
        <v>215</v>
      </c>
      <c r="E35" s="13">
        <v>212</v>
      </c>
      <c r="F35" s="13">
        <v>198</v>
      </c>
      <c r="G35" s="13">
        <v>226</v>
      </c>
      <c r="H35" s="13">
        <v>201</v>
      </c>
      <c r="I35" s="13"/>
      <c r="J35" s="13"/>
      <c r="K35" s="13"/>
      <c r="L35" s="13"/>
      <c r="M35" s="13"/>
      <c r="N35" s="91"/>
      <c r="O35" s="20"/>
      <c r="P35" s="20">
        <v>300</v>
      </c>
      <c r="Q35" s="37">
        <v>3600</v>
      </c>
    </row>
    <row r="36" spans="2:17" x14ac:dyDescent="0.25">
      <c r="B36" s="25">
        <v>9</v>
      </c>
      <c r="C36" s="2" t="s">
        <v>1</v>
      </c>
      <c r="D36" s="93">
        <v>23432</v>
      </c>
      <c r="E36" s="5">
        <v>25825</v>
      </c>
      <c r="F36" s="5">
        <v>22829</v>
      </c>
      <c r="G36" s="5">
        <v>22916</v>
      </c>
      <c r="H36" s="5">
        <v>28061</v>
      </c>
      <c r="I36" s="5">
        <v>999999</v>
      </c>
      <c r="J36" s="5">
        <v>999999</v>
      </c>
      <c r="K36" s="5">
        <v>999999</v>
      </c>
      <c r="L36" s="5">
        <v>999999</v>
      </c>
      <c r="M36" s="5">
        <v>999999</v>
      </c>
      <c r="N36" s="62" t="s">
        <v>22</v>
      </c>
      <c r="O36" s="61">
        <f>(O38-P38)/P38</f>
        <v>0.31206152185644898</v>
      </c>
      <c r="P36" s="5"/>
      <c r="Q36" s="33"/>
    </row>
    <row r="37" spans="2:17" x14ac:dyDescent="0.25">
      <c r="B37" s="21"/>
      <c r="C37" s="2" t="s">
        <v>2</v>
      </c>
      <c r="D37" s="1">
        <v>17335278</v>
      </c>
      <c r="E37" s="5">
        <v>17159046</v>
      </c>
      <c r="F37" s="5">
        <v>16071650</v>
      </c>
      <c r="G37" s="5">
        <v>16454687</v>
      </c>
      <c r="H37" s="5">
        <v>16087007</v>
      </c>
      <c r="I37" s="5"/>
      <c r="J37" s="5"/>
      <c r="K37" s="5"/>
      <c r="L37" s="5"/>
      <c r="M37" s="5"/>
      <c r="N37" s="62" t="s">
        <v>21</v>
      </c>
      <c r="O37" s="61">
        <f>(O38-Q38)/Q38</f>
        <v>0.3609488157296295</v>
      </c>
      <c r="P37" s="5"/>
      <c r="Q37" s="33"/>
    </row>
    <row r="38" spans="2:17" x14ac:dyDescent="0.25">
      <c r="B38" s="21"/>
      <c r="C38" s="14" t="s">
        <v>4</v>
      </c>
      <c r="D38" s="18">
        <f>TRUNC(($R5*D37)+D36,0)</f>
        <v>40767</v>
      </c>
      <c r="E38" s="18">
        <f t="shared" ref="E38:M38" si="8">TRUNC(($R5*E37)+E36,0)</f>
        <v>42984</v>
      </c>
      <c r="F38" s="18">
        <f t="shared" si="8"/>
        <v>38900</v>
      </c>
      <c r="G38" s="18">
        <f t="shared" si="8"/>
        <v>39370</v>
      </c>
      <c r="H38" s="18">
        <f t="shared" si="8"/>
        <v>44148</v>
      </c>
      <c r="I38" s="18">
        <f t="shared" si="8"/>
        <v>999999</v>
      </c>
      <c r="J38" s="18">
        <f t="shared" si="8"/>
        <v>999999</v>
      </c>
      <c r="K38" s="18">
        <f t="shared" si="8"/>
        <v>999999</v>
      </c>
      <c r="L38" s="18">
        <f t="shared" si="8"/>
        <v>999999</v>
      </c>
      <c r="M38" s="18">
        <f t="shared" si="8"/>
        <v>999999</v>
      </c>
      <c r="N38" s="87"/>
      <c r="O38" s="18">
        <f>SMALL(D38:M38,1)</f>
        <v>38900</v>
      </c>
      <c r="P38" s="5">
        <v>29648</v>
      </c>
      <c r="Q38" s="18">
        <v>28583</v>
      </c>
    </row>
    <row r="39" spans="2:17" x14ac:dyDescent="0.25">
      <c r="B39" s="22"/>
      <c r="C39" s="3" t="s">
        <v>3</v>
      </c>
      <c r="D39" s="1">
        <v>197</v>
      </c>
      <c r="E39" s="6">
        <v>195</v>
      </c>
      <c r="F39" s="6">
        <v>203</v>
      </c>
      <c r="G39" s="6">
        <v>203</v>
      </c>
      <c r="H39" s="6">
        <v>218</v>
      </c>
      <c r="I39" s="6"/>
      <c r="J39" s="6"/>
      <c r="K39" s="6"/>
      <c r="L39" s="6"/>
      <c r="M39" s="6"/>
      <c r="N39" s="89"/>
      <c r="O39" s="19"/>
      <c r="P39" s="19">
        <v>300</v>
      </c>
      <c r="Q39" s="36">
        <v>3600</v>
      </c>
    </row>
    <row r="40" spans="2:17" x14ac:dyDescent="0.25">
      <c r="B40" s="26">
        <v>10</v>
      </c>
      <c r="C40" s="8" t="s">
        <v>1</v>
      </c>
      <c r="D40" s="94">
        <v>17700</v>
      </c>
      <c r="E40" s="10">
        <v>13945</v>
      </c>
      <c r="F40" s="10">
        <v>15774</v>
      </c>
      <c r="G40" s="10">
        <v>11079</v>
      </c>
      <c r="H40" s="10">
        <v>7429</v>
      </c>
      <c r="I40" s="10">
        <v>999999</v>
      </c>
      <c r="J40" s="10">
        <v>999999</v>
      </c>
      <c r="K40" s="10">
        <v>999999</v>
      </c>
      <c r="L40" s="10">
        <v>999999</v>
      </c>
      <c r="M40" s="10">
        <v>999999</v>
      </c>
      <c r="N40" s="90" t="s">
        <v>22</v>
      </c>
      <c r="O40" s="161">
        <f>(O42-P42)/P42</f>
        <v>0.42650162569163197</v>
      </c>
      <c r="P40" s="10"/>
      <c r="Q40" s="34"/>
    </row>
    <row r="41" spans="2:17" x14ac:dyDescent="0.25">
      <c r="B41" s="23"/>
      <c r="C41" s="8" t="s">
        <v>2</v>
      </c>
      <c r="D41" s="9">
        <v>16356348</v>
      </c>
      <c r="E41" s="10">
        <v>16921568</v>
      </c>
      <c r="F41" s="10">
        <v>17380522</v>
      </c>
      <c r="G41" s="10">
        <v>17719277</v>
      </c>
      <c r="H41" s="10">
        <v>17579352</v>
      </c>
      <c r="I41" s="10"/>
      <c r="J41" s="10"/>
      <c r="K41" s="10"/>
      <c r="L41" s="10"/>
      <c r="M41" s="10"/>
      <c r="N41" s="90" t="s">
        <v>21</v>
      </c>
      <c r="O41" s="161">
        <f>(O42-Q42)/Q42</f>
        <v>0.72802653399668327</v>
      </c>
      <c r="P41" s="10"/>
      <c r="Q41" s="34"/>
    </row>
    <row r="42" spans="2:17" x14ac:dyDescent="0.25">
      <c r="B42" s="23"/>
      <c r="C42" s="15" t="s">
        <v>4</v>
      </c>
      <c r="D42" s="17">
        <f>TRUNC(($R5*D41)+D40,0)</f>
        <v>34056</v>
      </c>
      <c r="E42" s="17">
        <f t="shared" ref="E42:M42" si="9">TRUNC(($R5*E41)+E40,0)</f>
        <v>30866</v>
      </c>
      <c r="F42" s="17">
        <f t="shared" si="9"/>
        <v>33154</v>
      </c>
      <c r="G42" s="17">
        <f t="shared" si="9"/>
        <v>28798</v>
      </c>
      <c r="H42" s="17">
        <f t="shared" si="9"/>
        <v>25008</v>
      </c>
      <c r="I42" s="17">
        <f t="shared" si="9"/>
        <v>999999</v>
      </c>
      <c r="J42" s="17">
        <f t="shared" si="9"/>
        <v>999999</v>
      </c>
      <c r="K42" s="17">
        <f t="shared" si="9"/>
        <v>999999</v>
      </c>
      <c r="L42" s="17">
        <f t="shared" si="9"/>
        <v>999999</v>
      </c>
      <c r="M42" s="17">
        <f t="shared" si="9"/>
        <v>999999</v>
      </c>
      <c r="N42" s="88"/>
      <c r="O42" s="18">
        <f>SMALL(D42:M42,1)</f>
        <v>25008</v>
      </c>
      <c r="P42" s="10">
        <v>17531</v>
      </c>
      <c r="Q42" s="17">
        <v>14472</v>
      </c>
    </row>
    <row r="43" spans="2:17" x14ac:dyDescent="0.25">
      <c r="B43" s="27"/>
      <c r="C43" s="28" t="s">
        <v>3</v>
      </c>
      <c r="D43" s="29">
        <v>190</v>
      </c>
      <c r="E43" s="30">
        <v>286</v>
      </c>
      <c r="F43" s="30">
        <v>203</v>
      </c>
      <c r="G43" s="30">
        <v>192</v>
      </c>
      <c r="H43" s="30">
        <v>198</v>
      </c>
      <c r="I43" s="30"/>
      <c r="J43" s="30"/>
      <c r="K43" s="30"/>
      <c r="L43" s="30"/>
      <c r="M43" s="30"/>
      <c r="N43" s="30"/>
      <c r="O43" s="31"/>
      <c r="P43" s="30">
        <v>300</v>
      </c>
      <c r="Q43" s="35">
        <v>3600</v>
      </c>
    </row>
  </sheetData>
  <mergeCells count="3">
    <mergeCell ref="B3:C3"/>
    <mergeCell ref="B2:C2"/>
    <mergeCell ref="N3:O3"/>
  </mergeCells>
  <conditionalFormatting sqref="D8:M8">
    <cfRule type="cellIs" dxfId="54" priority="5" operator="equal">
      <formula>999999</formula>
    </cfRule>
  </conditionalFormatting>
  <conditionalFormatting sqref="D12:M12">
    <cfRule type="cellIs" dxfId="53" priority="9" operator="equal">
      <formula>999999</formula>
    </cfRule>
  </conditionalFormatting>
  <conditionalFormatting sqref="D16:M16">
    <cfRule type="cellIs" dxfId="52" priority="4" operator="equal">
      <formula>999999</formula>
    </cfRule>
  </conditionalFormatting>
  <conditionalFormatting sqref="D20:M20">
    <cfRule type="cellIs" dxfId="51" priority="8" operator="equal">
      <formula>999999</formula>
    </cfRule>
  </conditionalFormatting>
  <conditionalFormatting sqref="D24:M24">
    <cfRule type="cellIs" dxfId="50" priority="3" operator="equal">
      <formula>999999</formula>
    </cfRule>
  </conditionalFormatting>
  <conditionalFormatting sqref="D28:M28">
    <cfRule type="cellIs" dxfId="49" priority="7" operator="equal">
      <formula>999999</formula>
    </cfRule>
  </conditionalFormatting>
  <conditionalFormatting sqref="D32:M32">
    <cfRule type="cellIs" dxfId="48" priority="2" operator="equal">
      <formula>999999</formula>
    </cfRule>
  </conditionalFormatting>
  <conditionalFormatting sqref="D36:M36">
    <cfRule type="cellIs" dxfId="47" priority="6" operator="equal">
      <formula>999999</formula>
    </cfRule>
  </conditionalFormatting>
  <conditionalFormatting sqref="D40:M40">
    <cfRule type="cellIs" dxfId="46" priority="1" operator="equal">
      <formula>999999</formula>
    </cfRule>
  </conditionalFormatting>
  <conditionalFormatting sqref="D4:N4">
    <cfRule type="cellIs" dxfId="45" priority="21" operator="equal">
      <formula>999999</formula>
    </cfRule>
  </conditionalFormatting>
  <conditionalFormatting sqref="N8">
    <cfRule type="cellIs" dxfId="44" priority="20" operator="equal">
      <formula>999999</formula>
    </cfRule>
  </conditionalFormatting>
  <conditionalFormatting sqref="N12 N16 N20 N24 N28 N32 N36 N40">
    <cfRule type="cellIs" dxfId="43" priority="19" operator="equal">
      <formula>999999</formula>
    </cfRule>
  </conditionalFormatting>
  <conditionalFormatting sqref="O6">
    <cfRule type="cellIs" dxfId="42" priority="10" operator="equal">
      <formula>$P$34</formula>
    </cfRule>
  </conditionalFormatting>
  <conditionalFormatting sqref="O10">
    <cfRule type="cellIs" dxfId="41" priority="11" operator="equal">
      <formula>$P$34</formula>
    </cfRule>
  </conditionalFormatting>
  <conditionalFormatting sqref="O14">
    <cfRule type="cellIs" dxfId="40" priority="12" operator="equal">
      <formula>$P$34</formula>
    </cfRule>
  </conditionalFormatting>
  <conditionalFormatting sqref="O18">
    <cfRule type="cellIs" dxfId="39" priority="13" operator="equal">
      <formula>$P$34</formula>
    </cfRule>
  </conditionalFormatting>
  <conditionalFormatting sqref="O22">
    <cfRule type="cellIs" dxfId="38" priority="14" operator="equal">
      <formula>$P$34</formula>
    </cfRule>
  </conditionalFormatting>
  <conditionalFormatting sqref="O26">
    <cfRule type="cellIs" dxfId="37" priority="15" operator="equal">
      <formula>$P$34</formula>
    </cfRule>
  </conditionalFormatting>
  <conditionalFormatting sqref="O30">
    <cfRule type="cellIs" dxfId="36" priority="16" operator="equal">
      <formula>$P$34</formula>
    </cfRule>
  </conditionalFormatting>
  <conditionalFormatting sqref="O38">
    <cfRule type="cellIs" dxfId="35" priority="18" operator="equal">
      <formula>$P$34</formula>
    </cfRule>
  </conditionalFormatting>
  <conditionalFormatting sqref="O42">
    <cfRule type="cellIs" dxfId="34" priority="17" operator="equal">
      <formula>$P$34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43"/>
  <sheetViews>
    <sheetView workbookViewId="0">
      <selection activeCell="R29" sqref="R29"/>
    </sheetView>
  </sheetViews>
  <sheetFormatPr defaultRowHeight="15" x14ac:dyDescent="0.25"/>
  <cols>
    <col min="1" max="1" width="2.28515625" customWidth="1"/>
    <col min="2" max="2" width="4.42578125" customWidth="1"/>
    <col min="18" max="18" width="27.140625" customWidth="1"/>
  </cols>
  <sheetData>
    <row r="2" spans="2:18" x14ac:dyDescent="0.25">
      <c r="B2" s="170" t="s">
        <v>23</v>
      </c>
      <c r="C2" s="170"/>
      <c r="D2" s="58" t="s">
        <v>20</v>
      </c>
      <c r="E2" s="58" t="s">
        <v>20</v>
      </c>
      <c r="F2" s="58" t="s">
        <v>20</v>
      </c>
      <c r="G2" s="58" t="s">
        <v>20</v>
      </c>
      <c r="H2" s="58" t="s">
        <v>20</v>
      </c>
      <c r="I2" s="58" t="s">
        <v>20</v>
      </c>
      <c r="J2" s="58" t="s">
        <v>20</v>
      </c>
      <c r="K2" s="58" t="s">
        <v>20</v>
      </c>
      <c r="L2" s="58" t="s">
        <v>20</v>
      </c>
      <c r="M2" s="58" t="s">
        <v>20</v>
      </c>
      <c r="N2" s="40"/>
      <c r="P2" s="39" t="s">
        <v>10</v>
      </c>
      <c r="Q2" s="39" t="s">
        <v>9</v>
      </c>
    </row>
    <row r="3" spans="2:18" x14ac:dyDescent="0.25">
      <c r="B3" s="169" t="s">
        <v>18</v>
      </c>
      <c r="C3" s="169"/>
      <c r="D3" s="7">
        <v>1</v>
      </c>
      <c r="E3" s="7">
        <v>2</v>
      </c>
      <c r="F3" s="7">
        <v>3</v>
      </c>
      <c r="G3" s="7">
        <v>4</v>
      </c>
      <c r="H3" s="7">
        <v>5</v>
      </c>
      <c r="I3" s="7">
        <v>6</v>
      </c>
      <c r="J3" s="7">
        <v>7</v>
      </c>
      <c r="K3" s="7">
        <v>8</v>
      </c>
      <c r="L3" s="7">
        <v>9</v>
      </c>
      <c r="M3" s="7">
        <v>10</v>
      </c>
      <c r="N3" s="165" t="s">
        <v>7</v>
      </c>
      <c r="O3" s="166"/>
      <c r="P3" s="7" t="s">
        <v>8</v>
      </c>
      <c r="Q3" s="38" t="s">
        <v>8</v>
      </c>
      <c r="R3" s="52" t="s">
        <v>5</v>
      </c>
    </row>
    <row r="4" spans="2:18" x14ac:dyDescent="0.25">
      <c r="B4" s="21">
        <v>1</v>
      </c>
      <c r="C4" s="2" t="s">
        <v>1</v>
      </c>
      <c r="D4" s="92">
        <v>59097</v>
      </c>
      <c r="E4" s="5">
        <v>49096</v>
      </c>
      <c r="F4" s="5">
        <v>38972</v>
      </c>
      <c r="G4" s="5">
        <v>38066</v>
      </c>
      <c r="H4" s="5">
        <v>44300</v>
      </c>
      <c r="I4" s="5">
        <v>999999</v>
      </c>
      <c r="J4" s="5">
        <v>999999</v>
      </c>
      <c r="K4" s="5">
        <v>999999</v>
      </c>
      <c r="L4" s="5">
        <v>999999</v>
      </c>
      <c r="M4" s="63">
        <v>999999</v>
      </c>
      <c r="N4" s="66" t="s">
        <v>22</v>
      </c>
      <c r="O4" s="60">
        <f>(O6-P6)/P6</f>
        <v>9.5330435751699541E-2</v>
      </c>
      <c r="P4" s="1"/>
      <c r="Q4" s="1"/>
      <c r="R4" s="50" t="s">
        <v>6</v>
      </c>
    </row>
    <row r="5" spans="2:18" x14ac:dyDescent="0.25">
      <c r="B5" s="21"/>
      <c r="C5" s="2" t="s">
        <v>2</v>
      </c>
      <c r="D5" s="1">
        <v>10427535</v>
      </c>
      <c r="E5" s="5">
        <v>10953634</v>
      </c>
      <c r="F5" s="5">
        <v>10329060</v>
      </c>
      <c r="G5" s="5">
        <v>11076354</v>
      </c>
      <c r="H5" s="5">
        <v>11208013</v>
      </c>
      <c r="I5" s="5"/>
      <c r="J5" s="5"/>
      <c r="K5" s="5"/>
      <c r="L5" s="5"/>
      <c r="M5" s="63"/>
      <c r="N5" s="68" t="s">
        <v>21</v>
      </c>
      <c r="O5" s="61">
        <f>(O6-Q6)/Q6</f>
        <v>0.1199179580674567</v>
      </c>
      <c r="P5" s="1"/>
      <c r="Q5" s="1"/>
      <c r="R5" s="51">
        <v>1E-3</v>
      </c>
    </row>
    <row r="6" spans="2:18" x14ac:dyDescent="0.25">
      <c r="B6" s="21"/>
      <c r="C6" s="14" t="s">
        <v>4</v>
      </c>
      <c r="D6" s="16">
        <f>TRUNC(($R5*D5)+D4,0)</f>
        <v>69524</v>
      </c>
      <c r="E6" s="16">
        <f t="shared" ref="E6:M6" si="0">TRUNC(($R5*E5)+E4,0)</f>
        <v>60049</v>
      </c>
      <c r="F6" s="16">
        <f t="shared" si="0"/>
        <v>49301</v>
      </c>
      <c r="G6" s="16">
        <f t="shared" si="0"/>
        <v>49142</v>
      </c>
      <c r="H6" s="16">
        <f t="shared" si="0"/>
        <v>55508</v>
      </c>
      <c r="I6" s="16">
        <f t="shared" si="0"/>
        <v>999999</v>
      </c>
      <c r="J6" s="16">
        <f t="shared" si="0"/>
        <v>999999</v>
      </c>
      <c r="K6" s="16">
        <f t="shared" si="0"/>
        <v>999999</v>
      </c>
      <c r="L6" s="16">
        <f t="shared" si="0"/>
        <v>999999</v>
      </c>
      <c r="M6" s="64">
        <f t="shared" si="0"/>
        <v>999999</v>
      </c>
      <c r="N6" s="70"/>
      <c r="O6" s="18">
        <f>SMALL(D6:M6,1)</f>
        <v>49142</v>
      </c>
      <c r="P6" s="1">
        <v>44865</v>
      </c>
      <c r="Q6" s="16">
        <v>43880</v>
      </c>
    </row>
    <row r="7" spans="2:18" x14ac:dyDescent="0.25">
      <c r="B7" s="22"/>
      <c r="C7" s="3" t="s">
        <v>3</v>
      </c>
      <c r="D7" s="4">
        <v>135</v>
      </c>
      <c r="E7" s="6">
        <v>119</v>
      </c>
      <c r="F7" s="6">
        <v>120</v>
      </c>
      <c r="G7" s="6">
        <v>194</v>
      </c>
      <c r="H7" s="6">
        <v>115</v>
      </c>
      <c r="I7" s="6"/>
      <c r="J7" s="6"/>
      <c r="K7" s="6"/>
      <c r="L7" s="6"/>
      <c r="M7" s="71"/>
      <c r="N7" s="63"/>
      <c r="O7" s="33"/>
      <c r="P7" s="36">
        <v>300</v>
      </c>
      <c r="Q7" s="36">
        <v>3600</v>
      </c>
    </row>
    <row r="8" spans="2:18" x14ac:dyDescent="0.25">
      <c r="B8" s="23">
        <v>2</v>
      </c>
      <c r="C8" s="8" t="s">
        <v>1</v>
      </c>
      <c r="D8" s="94">
        <v>106645</v>
      </c>
      <c r="E8" s="10">
        <v>119434</v>
      </c>
      <c r="F8" s="10">
        <v>103433</v>
      </c>
      <c r="G8" s="10">
        <v>101303</v>
      </c>
      <c r="H8" s="10">
        <v>101072</v>
      </c>
      <c r="I8" s="10">
        <v>999999</v>
      </c>
      <c r="J8" s="10">
        <v>999999</v>
      </c>
      <c r="K8" s="10">
        <v>999999</v>
      </c>
      <c r="L8" s="10">
        <v>999999</v>
      </c>
      <c r="M8" s="75">
        <v>999999</v>
      </c>
      <c r="N8" s="77" t="s">
        <v>22</v>
      </c>
      <c r="O8" s="82">
        <f>(O10-P10)/P10</f>
        <v>-4.1612094130135169E-2</v>
      </c>
      <c r="P8" s="9"/>
      <c r="Q8" s="34"/>
      <c r="R8" s="44" t="s">
        <v>26</v>
      </c>
    </row>
    <row r="9" spans="2:18" x14ac:dyDescent="0.25">
      <c r="B9" s="23"/>
      <c r="C9" s="8" t="s">
        <v>2</v>
      </c>
      <c r="D9" s="9">
        <v>10983213</v>
      </c>
      <c r="E9" s="10">
        <v>13052427</v>
      </c>
      <c r="F9" s="10">
        <v>11844101</v>
      </c>
      <c r="G9" s="10">
        <v>11075746</v>
      </c>
      <c r="H9" s="10">
        <v>10884615</v>
      </c>
      <c r="I9" s="10"/>
      <c r="J9" s="10"/>
      <c r="K9" s="10"/>
      <c r="L9" s="10"/>
      <c r="M9" s="75"/>
      <c r="N9" s="72" t="s">
        <v>21</v>
      </c>
      <c r="O9" s="83">
        <f>(O10-Q10)/Q10</f>
        <v>-7.0157077350173399E-3</v>
      </c>
      <c r="P9" s="9"/>
      <c r="Q9" s="34"/>
      <c r="R9" s="159">
        <f>AVERAGE(O4,O8,O12,O16,O20,O24,O28,O32,O36,O40)</f>
        <v>9.6606933882478624E-2</v>
      </c>
    </row>
    <row r="10" spans="2:18" x14ac:dyDescent="0.25">
      <c r="B10" s="23"/>
      <c r="C10" s="15" t="s">
        <v>4</v>
      </c>
      <c r="D10" s="17">
        <f>TRUNC(($R5*D9)+D8,0)</f>
        <v>117628</v>
      </c>
      <c r="E10" s="17">
        <f t="shared" ref="E10:M10" si="1">TRUNC(($R5*E9)+E8,0)</f>
        <v>132486</v>
      </c>
      <c r="F10" s="17">
        <f t="shared" si="1"/>
        <v>115277</v>
      </c>
      <c r="G10" s="17">
        <f t="shared" si="1"/>
        <v>112378</v>
      </c>
      <c r="H10" s="17">
        <f t="shared" si="1"/>
        <v>111956</v>
      </c>
      <c r="I10" s="17">
        <f t="shared" si="1"/>
        <v>999999</v>
      </c>
      <c r="J10" s="17">
        <f t="shared" si="1"/>
        <v>999999</v>
      </c>
      <c r="K10" s="17">
        <f t="shared" si="1"/>
        <v>999999</v>
      </c>
      <c r="L10" s="17">
        <f t="shared" si="1"/>
        <v>999999</v>
      </c>
      <c r="M10" s="76">
        <f t="shared" si="1"/>
        <v>999999</v>
      </c>
      <c r="N10" s="73"/>
      <c r="O10" s="162">
        <f>SMALL(D10:M10,1)</f>
        <v>111956</v>
      </c>
      <c r="P10" s="9">
        <v>116817</v>
      </c>
      <c r="Q10" s="17">
        <v>112747</v>
      </c>
    </row>
    <row r="11" spans="2:18" x14ac:dyDescent="0.25">
      <c r="B11" s="24"/>
      <c r="C11" s="11" t="s">
        <v>3</v>
      </c>
      <c r="D11" s="12">
        <v>156</v>
      </c>
      <c r="E11" s="13">
        <v>158</v>
      </c>
      <c r="F11" s="13">
        <v>157</v>
      </c>
      <c r="G11" s="13">
        <v>221</v>
      </c>
      <c r="H11" s="13">
        <v>224</v>
      </c>
      <c r="I11" s="13"/>
      <c r="J11" s="13"/>
      <c r="K11" s="13"/>
      <c r="L11" s="13"/>
      <c r="M11" s="74"/>
      <c r="N11" s="75"/>
      <c r="O11" s="37"/>
      <c r="P11" s="37">
        <v>300</v>
      </c>
      <c r="Q11" s="37">
        <v>3600</v>
      </c>
      <c r="R11" s="44" t="s">
        <v>27</v>
      </c>
    </row>
    <row r="12" spans="2:18" x14ac:dyDescent="0.25">
      <c r="B12" s="25">
        <v>3</v>
      </c>
      <c r="C12" s="2" t="s">
        <v>1</v>
      </c>
      <c r="D12" s="98">
        <v>46001</v>
      </c>
      <c r="E12" s="5">
        <v>44402</v>
      </c>
      <c r="F12" s="5">
        <v>39910</v>
      </c>
      <c r="G12" s="5">
        <v>39894</v>
      </c>
      <c r="H12" s="5">
        <v>48536</v>
      </c>
      <c r="I12" s="5">
        <v>999999</v>
      </c>
      <c r="J12" s="5">
        <v>999999</v>
      </c>
      <c r="K12" s="5">
        <v>999999</v>
      </c>
      <c r="L12" s="5">
        <v>999999</v>
      </c>
      <c r="M12" s="63">
        <v>999999</v>
      </c>
      <c r="N12" s="81" t="s">
        <v>22</v>
      </c>
      <c r="O12" s="84">
        <f>(O14-P14)/P14</f>
        <v>-8.5227992113878492E-2</v>
      </c>
      <c r="P12" s="1"/>
      <c r="Q12" s="33"/>
      <c r="R12" s="159">
        <f>AVERAGE(O5,O13,O17,O21,O25,O29,O33,O37,O41)</f>
        <v>0.19754768132330064</v>
      </c>
    </row>
    <row r="13" spans="2:18" x14ac:dyDescent="0.25">
      <c r="B13" s="21"/>
      <c r="C13" s="2" t="s">
        <v>2</v>
      </c>
      <c r="D13" s="1">
        <v>11960417</v>
      </c>
      <c r="E13" s="5">
        <v>10402043</v>
      </c>
      <c r="F13" s="5">
        <v>10665551</v>
      </c>
      <c r="G13" s="5">
        <v>10725785</v>
      </c>
      <c r="H13" s="5">
        <v>11571502</v>
      </c>
      <c r="I13" s="5"/>
      <c r="J13" s="5"/>
      <c r="K13" s="5"/>
      <c r="L13" s="5"/>
      <c r="M13" s="63"/>
      <c r="N13" s="68" t="s">
        <v>21</v>
      </c>
      <c r="O13" s="85">
        <f>(O14-Q14)/Q14</f>
        <v>8.1494311863826871E-2</v>
      </c>
      <c r="P13" s="1"/>
      <c r="Q13" s="33"/>
    </row>
    <row r="14" spans="2:18" x14ac:dyDescent="0.25">
      <c r="B14" s="21"/>
      <c r="C14" s="14" t="s">
        <v>4</v>
      </c>
      <c r="D14" s="18">
        <f>TRUNC(($R5*D13)+D12,0)</f>
        <v>57961</v>
      </c>
      <c r="E14" s="18">
        <f t="shared" ref="E14:M14" si="2">TRUNC(($R5*E13)+E12,0)</f>
        <v>54804</v>
      </c>
      <c r="F14" s="18">
        <f t="shared" si="2"/>
        <v>50575</v>
      </c>
      <c r="G14" s="18">
        <f t="shared" si="2"/>
        <v>50619</v>
      </c>
      <c r="H14" s="18">
        <f t="shared" si="2"/>
        <v>60107</v>
      </c>
      <c r="I14" s="18">
        <f t="shared" si="2"/>
        <v>999999</v>
      </c>
      <c r="J14" s="18">
        <f t="shared" si="2"/>
        <v>999999</v>
      </c>
      <c r="K14" s="18">
        <f t="shared" si="2"/>
        <v>999999</v>
      </c>
      <c r="L14" s="18">
        <f t="shared" si="2"/>
        <v>999999</v>
      </c>
      <c r="M14" s="79">
        <f t="shared" si="2"/>
        <v>999999</v>
      </c>
      <c r="N14" s="70"/>
      <c r="O14" s="18">
        <f>SMALL(D14:M14,1)</f>
        <v>50575</v>
      </c>
      <c r="P14" s="1">
        <v>55287</v>
      </c>
      <c r="Q14" s="18">
        <v>46764</v>
      </c>
    </row>
    <row r="15" spans="2:18" x14ac:dyDescent="0.25">
      <c r="B15" s="22"/>
      <c r="C15" s="3" t="s">
        <v>3</v>
      </c>
      <c r="D15" s="4">
        <v>126</v>
      </c>
      <c r="E15" s="6">
        <v>178</v>
      </c>
      <c r="F15" s="6">
        <v>117</v>
      </c>
      <c r="G15" s="6">
        <v>125</v>
      </c>
      <c r="H15" s="6">
        <v>130</v>
      </c>
      <c r="I15" s="6"/>
      <c r="J15" s="6"/>
      <c r="K15" s="6"/>
      <c r="L15" s="6"/>
      <c r="M15" s="71"/>
      <c r="N15" s="71"/>
      <c r="O15" s="33"/>
      <c r="P15" s="36">
        <v>300</v>
      </c>
      <c r="Q15" s="36">
        <v>3600</v>
      </c>
    </row>
    <row r="16" spans="2:18" x14ac:dyDescent="0.25">
      <c r="B16" s="26">
        <v>4</v>
      </c>
      <c r="C16" s="8" t="s">
        <v>1</v>
      </c>
      <c r="D16" s="94">
        <v>133210</v>
      </c>
      <c r="E16" s="10">
        <v>143449</v>
      </c>
      <c r="F16" s="10">
        <v>146109</v>
      </c>
      <c r="G16" s="10">
        <v>141140</v>
      </c>
      <c r="H16" s="10">
        <v>142011</v>
      </c>
      <c r="I16" s="10">
        <v>999999</v>
      </c>
      <c r="J16" s="10">
        <v>999999</v>
      </c>
      <c r="K16" s="10">
        <v>999999</v>
      </c>
      <c r="L16" s="10">
        <v>999999</v>
      </c>
      <c r="M16" s="75">
        <v>999999</v>
      </c>
      <c r="N16" s="72" t="s">
        <v>22</v>
      </c>
      <c r="O16" s="82">
        <f>(O18-P18)/P18</f>
        <v>-0.12442545439291429</v>
      </c>
      <c r="P16" s="9"/>
      <c r="Q16" s="34"/>
    </row>
    <row r="17" spans="2:17" x14ac:dyDescent="0.25">
      <c r="B17" s="23"/>
      <c r="C17" s="8" t="s">
        <v>2</v>
      </c>
      <c r="D17" s="9">
        <v>12898638</v>
      </c>
      <c r="E17" s="10">
        <v>11042677</v>
      </c>
      <c r="F17" s="10">
        <v>11995437</v>
      </c>
      <c r="G17" s="10">
        <v>12003368</v>
      </c>
      <c r="H17" s="10">
        <v>12598239</v>
      </c>
      <c r="I17" s="10"/>
      <c r="J17" s="10"/>
      <c r="K17" s="10"/>
      <c r="L17" s="10"/>
      <c r="M17" s="75"/>
      <c r="N17" s="72" t="s">
        <v>21</v>
      </c>
      <c r="O17" s="83">
        <f>(O18-Q18)/Q18</f>
        <v>6.4888305819758754E-2</v>
      </c>
      <c r="P17" s="9"/>
      <c r="Q17" s="34"/>
    </row>
    <row r="18" spans="2:17" x14ac:dyDescent="0.25">
      <c r="B18" s="23"/>
      <c r="C18" s="15" t="s">
        <v>4</v>
      </c>
      <c r="D18" s="17">
        <f>TRUNC(($R5*D17)+D16,0)</f>
        <v>146108</v>
      </c>
      <c r="E18" s="17">
        <f t="shared" ref="E18:M18" si="3">TRUNC(($R5*E17)+E16,0)</f>
        <v>154491</v>
      </c>
      <c r="F18" s="17">
        <f t="shared" si="3"/>
        <v>158104</v>
      </c>
      <c r="G18" s="17">
        <f t="shared" si="3"/>
        <v>153143</v>
      </c>
      <c r="H18" s="17">
        <f t="shared" si="3"/>
        <v>154609</v>
      </c>
      <c r="I18" s="17">
        <f t="shared" si="3"/>
        <v>999999</v>
      </c>
      <c r="J18" s="17">
        <f t="shared" si="3"/>
        <v>999999</v>
      </c>
      <c r="K18" s="17">
        <f t="shared" si="3"/>
        <v>999999</v>
      </c>
      <c r="L18" s="17">
        <f t="shared" si="3"/>
        <v>999999</v>
      </c>
      <c r="M18" s="76">
        <f t="shared" si="3"/>
        <v>999999</v>
      </c>
      <c r="N18" s="73"/>
      <c r="O18" s="17">
        <f>SMALL(D18:M18,1)</f>
        <v>146108</v>
      </c>
      <c r="P18" s="9">
        <v>166871</v>
      </c>
      <c r="Q18" s="17">
        <v>137205</v>
      </c>
    </row>
    <row r="19" spans="2:17" x14ac:dyDescent="0.25">
      <c r="B19" s="24"/>
      <c r="C19" s="11" t="s">
        <v>3</v>
      </c>
      <c r="D19" s="12">
        <v>117</v>
      </c>
      <c r="E19" s="13">
        <v>123</v>
      </c>
      <c r="F19" s="13">
        <v>129</v>
      </c>
      <c r="G19" s="13">
        <v>124</v>
      </c>
      <c r="H19" s="13">
        <v>120</v>
      </c>
      <c r="I19" s="13"/>
      <c r="J19" s="13"/>
      <c r="K19" s="13"/>
      <c r="L19" s="13"/>
      <c r="M19" s="74"/>
      <c r="N19" s="75"/>
      <c r="O19" s="37"/>
      <c r="P19" s="37">
        <v>300</v>
      </c>
      <c r="Q19" s="37">
        <v>3600</v>
      </c>
    </row>
    <row r="20" spans="2:17" x14ac:dyDescent="0.25">
      <c r="B20" s="25">
        <v>5</v>
      </c>
      <c r="C20" s="2" t="s">
        <v>1</v>
      </c>
      <c r="D20" s="98">
        <v>36919</v>
      </c>
      <c r="E20" s="5">
        <v>44579</v>
      </c>
      <c r="F20" s="5">
        <v>54705</v>
      </c>
      <c r="G20" s="5">
        <v>57104</v>
      </c>
      <c r="H20" s="5">
        <v>50011</v>
      </c>
      <c r="I20" s="5">
        <v>999999</v>
      </c>
      <c r="J20" s="5">
        <v>999999</v>
      </c>
      <c r="K20" s="5">
        <v>999999</v>
      </c>
      <c r="L20" s="5">
        <v>999999</v>
      </c>
      <c r="M20" s="63">
        <v>999999</v>
      </c>
      <c r="N20" s="81" t="s">
        <v>22</v>
      </c>
      <c r="O20" s="84">
        <f>(O22-P22)/P22</f>
        <v>0.11371253134594202</v>
      </c>
      <c r="P20" s="1"/>
      <c r="Q20" s="33"/>
    </row>
    <row r="21" spans="2:17" x14ac:dyDescent="0.25">
      <c r="B21" s="21"/>
      <c r="C21" s="2" t="s">
        <v>2</v>
      </c>
      <c r="D21" s="1">
        <v>10602203</v>
      </c>
      <c r="E21" s="5">
        <v>10157988</v>
      </c>
      <c r="F21" s="5">
        <v>9830939</v>
      </c>
      <c r="G21" s="5">
        <v>10109888</v>
      </c>
      <c r="H21" s="5">
        <v>9119920</v>
      </c>
      <c r="I21" s="5"/>
      <c r="J21" s="5"/>
      <c r="K21" s="5"/>
      <c r="L21" s="5"/>
      <c r="M21" s="63"/>
      <c r="N21" s="68" t="s">
        <v>21</v>
      </c>
      <c r="O21" s="85">
        <f>(O22-Q22)/Q22</f>
        <v>0.15772163617316734</v>
      </c>
      <c r="P21" s="1"/>
      <c r="Q21" s="33"/>
    </row>
    <row r="22" spans="2:17" x14ac:dyDescent="0.25">
      <c r="B22" s="21"/>
      <c r="C22" s="14" t="s">
        <v>4</v>
      </c>
      <c r="D22" s="18">
        <f>TRUNC(($R5*D21)+D20,0)</f>
        <v>47521</v>
      </c>
      <c r="E22" s="18">
        <f t="shared" ref="E22:M22" si="4">TRUNC(($R5*E21)+E20,0)</f>
        <v>54736</v>
      </c>
      <c r="F22" s="18">
        <f t="shared" si="4"/>
        <v>64535</v>
      </c>
      <c r="G22" s="18">
        <f t="shared" si="4"/>
        <v>67213</v>
      </c>
      <c r="H22" s="18">
        <f t="shared" si="4"/>
        <v>59130</v>
      </c>
      <c r="I22" s="18">
        <f t="shared" si="4"/>
        <v>999999</v>
      </c>
      <c r="J22" s="18">
        <f t="shared" si="4"/>
        <v>999999</v>
      </c>
      <c r="K22" s="18">
        <f t="shared" si="4"/>
        <v>999999</v>
      </c>
      <c r="L22" s="18">
        <f t="shared" si="4"/>
        <v>999999</v>
      </c>
      <c r="M22" s="79">
        <f t="shared" si="4"/>
        <v>999999</v>
      </c>
      <c r="N22" s="70"/>
      <c r="O22" s="18">
        <f>SMALL(D22:M22,1)</f>
        <v>47521</v>
      </c>
      <c r="P22" s="1">
        <v>42669</v>
      </c>
      <c r="Q22" s="18">
        <v>41047</v>
      </c>
    </row>
    <row r="23" spans="2:17" x14ac:dyDescent="0.25">
      <c r="B23" s="22"/>
      <c r="C23" s="3" t="s">
        <v>3</v>
      </c>
      <c r="D23" s="4">
        <v>191</v>
      </c>
      <c r="E23" s="6">
        <v>122</v>
      </c>
      <c r="F23" s="6">
        <v>146</v>
      </c>
      <c r="G23" s="6">
        <v>127</v>
      </c>
      <c r="H23" s="6">
        <v>189</v>
      </c>
      <c r="I23" s="6"/>
      <c r="J23" s="6"/>
      <c r="K23" s="6"/>
      <c r="L23" s="6"/>
      <c r="M23" s="71"/>
      <c r="N23" s="71"/>
      <c r="O23" s="33"/>
      <c r="P23" s="36">
        <v>300</v>
      </c>
      <c r="Q23" s="36">
        <v>3600</v>
      </c>
    </row>
    <row r="24" spans="2:17" x14ac:dyDescent="0.25">
      <c r="B24" s="23">
        <v>6</v>
      </c>
      <c r="C24" s="8" t="s">
        <v>1</v>
      </c>
      <c r="D24" s="94">
        <v>77334</v>
      </c>
      <c r="E24" s="10">
        <v>80785</v>
      </c>
      <c r="F24" s="10">
        <v>86885</v>
      </c>
      <c r="G24" s="10">
        <v>81134</v>
      </c>
      <c r="H24" s="10">
        <v>77142</v>
      </c>
      <c r="I24" s="10">
        <v>999999</v>
      </c>
      <c r="J24" s="10">
        <v>999999</v>
      </c>
      <c r="K24" s="10">
        <v>999999</v>
      </c>
      <c r="L24" s="10">
        <v>999999</v>
      </c>
      <c r="M24" s="75">
        <v>999999</v>
      </c>
      <c r="N24" s="72" t="s">
        <v>22</v>
      </c>
      <c r="O24" s="82">
        <f>(O26-P26)/P26</f>
        <v>-5.912228741314654E-3</v>
      </c>
      <c r="P24" s="9"/>
      <c r="Q24" s="34"/>
    </row>
    <row r="25" spans="2:17" x14ac:dyDescent="0.25">
      <c r="B25" s="23"/>
      <c r="C25" s="8" t="s">
        <v>2</v>
      </c>
      <c r="D25" s="9">
        <v>11231802</v>
      </c>
      <c r="E25" s="10">
        <v>12082403</v>
      </c>
      <c r="F25" s="10">
        <v>10312928</v>
      </c>
      <c r="G25" s="10">
        <v>12138302</v>
      </c>
      <c r="H25" s="10">
        <v>11132635</v>
      </c>
      <c r="I25" s="10"/>
      <c r="J25" s="10"/>
      <c r="K25" s="10"/>
      <c r="L25" s="10"/>
      <c r="M25" s="75"/>
      <c r="N25" s="72" t="s">
        <v>21</v>
      </c>
      <c r="O25" s="126">
        <f>(O26-Q26)/Q26</f>
        <v>0.12666241225271219</v>
      </c>
      <c r="P25" s="9"/>
      <c r="Q25" s="34"/>
    </row>
    <row r="26" spans="2:17" x14ac:dyDescent="0.25">
      <c r="B26" s="23"/>
      <c r="C26" s="15" t="s">
        <v>4</v>
      </c>
      <c r="D26" s="17">
        <f>TRUNC(($R5*D25)+D24,0)</f>
        <v>88565</v>
      </c>
      <c r="E26" s="17">
        <f t="shared" ref="E26:M26" si="5">TRUNC(($R5*E25)+E24,0)</f>
        <v>92867</v>
      </c>
      <c r="F26" s="17">
        <f t="shared" si="5"/>
        <v>97197</v>
      </c>
      <c r="G26" s="17">
        <f t="shared" si="5"/>
        <v>93272</v>
      </c>
      <c r="H26" s="17">
        <f t="shared" si="5"/>
        <v>88274</v>
      </c>
      <c r="I26" s="17">
        <f t="shared" si="5"/>
        <v>999999</v>
      </c>
      <c r="J26" s="17">
        <f t="shared" si="5"/>
        <v>999999</v>
      </c>
      <c r="K26" s="17">
        <f t="shared" si="5"/>
        <v>999999</v>
      </c>
      <c r="L26" s="17">
        <f t="shared" si="5"/>
        <v>999999</v>
      </c>
      <c r="M26" s="76">
        <f t="shared" si="5"/>
        <v>999999</v>
      </c>
      <c r="N26" s="73"/>
      <c r="O26" s="17">
        <f>SMALL(D26:M26,1)</f>
        <v>88274</v>
      </c>
      <c r="P26" s="9">
        <v>88799</v>
      </c>
      <c r="Q26" s="17">
        <v>78350</v>
      </c>
    </row>
    <row r="27" spans="2:17" x14ac:dyDescent="0.25">
      <c r="B27" s="24"/>
      <c r="C27" s="11" t="s">
        <v>3</v>
      </c>
      <c r="D27" s="12">
        <v>121</v>
      </c>
      <c r="E27" s="13">
        <v>124</v>
      </c>
      <c r="F27" s="13">
        <v>118</v>
      </c>
      <c r="G27" s="13">
        <v>135</v>
      </c>
      <c r="H27" s="13">
        <v>318</v>
      </c>
      <c r="I27" s="13"/>
      <c r="J27" s="13"/>
      <c r="K27" s="13"/>
      <c r="L27" s="13"/>
      <c r="M27" s="74"/>
      <c r="N27" s="75"/>
      <c r="O27" s="37"/>
      <c r="P27" s="37">
        <v>300</v>
      </c>
      <c r="Q27" s="37">
        <v>3600</v>
      </c>
    </row>
    <row r="28" spans="2:17" x14ac:dyDescent="0.25">
      <c r="B28" s="25">
        <v>7</v>
      </c>
      <c r="C28" s="2" t="s">
        <v>1</v>
      </c>
      <c r="D28" s="98">
        <v>12114</v>
      </c>
      <c r="E28" s="5">
        <v>19777</v>
      </c>
      <c r="F28" s="5">
        <v>12642</v>
      </c>
      <c r="G28" s="5">
        <v>15408</v>
      </c>
      <c r="H28" s="5">
        <v>18146</v>
      </c>
      <c r="I28" s="5">
        <v>999999</v>
      </c>
      <c r="J28" s="5">
        <v>999999</v>
      </c>
      <c r="K28" s="5">
        <v>999999</v>
      </c>
      <c r="L28" s="5">
        <v>999999</v>
      </c>
      <c r="M28" s="63">
        <v>999999</v>
      </c>
      <c r="N28" s="81" t="s">
        <v>22</v>
      </c>
      <c r="O28" s="84">
        <f>(O30-P30)/P30</f>
        <v>0.23522646366175584</v>
      </c>
      <c r="P28" s="1"/>
      <c r="Q28" s="33"/>
    </row>
    <row r="29" spans="2:17" x14ac:dyDescent="0.25">
      <c r="B29" s="21"/>
      <c r="C29" s="2" t="s">
        <v>2</v>
      </c>
      <c r="D29" s="1">
        <v>11057835</v>
      </c>
      <c r="E29" s="5">
        <v>11858973</v>
      </c>
      <c r="F29" s="5">
        <v>9912138</v>
      </c>
      <c r="G29" s="5">
        <v>10664754</v>
      </c>
      <c r="H29" s="5">
        <v>11254692</v>
      </c>
      <c r="I29" s="5"/>
      <c r="J29" s="5"/>
      <c r="K29" s="5"/>
      <c r="L29" s="5"/>
      <c r="M29" s="63"/>
      <c r="N29" s="68" t="s">
        <v>21</v>
      </c>
      <c r="O29" s="85">
        <f>(O30-Q30)/Q30</f>
        <v>0.33266367289056958</v>
      </c>
      <c r="P29" s="1"/>
      <c r="Q29" s="33"/>
    </row>
    <row r="30" spans="2:17" x14ac:dyDescent="0.25">
      <c r="B30" s="21"/>
      <c r="C30" s="14" t="s">
        <v>4</v>
      </c>
      <c r="D30" s="18">
        <f>TRUNC(($R5*D29)+D28,0)</f>
        <v>23171</v>
      </c>
      <c r="E30" s="18">
        <f t="shared" ref="E30:M30" si="6">TRUNC(($R5*E29)+E28,0)</f>
        <v>31635</v>
      </c>
      <c r="F30" s="18">
        <f t="shared" si="6"/>
        <v>22554</v>
      </c>
      <c r="G30" s="18">
        <f t="shared" si="6"/>
        <v>26072</v>
      </c>
      <c r="H30" s="18">
        <f t="shared" si="6"/>
        <v>29400</v>
      </c>
      <c r="I30" s="18">
        <f t="shared" si="6"/>
        <v>999999</v>
      </c>
      <c r="J30" s="18">
        <f t="shared" si="6"/>
        <v>999999</v>
      </c>
      <c r="K30" s="18">
        <f t="shared" si="6"/>
        <v>999999</v>
      </c>
      <c r="L30" s="18">
        <f t="shared" si="6"/>
        <v>999999</v>
      </c>
      <c r="M30" s="79">
        <f t="shared" si="6"/>
        <v>999999</v>
      </c>
      <c r="N30" s="70"/>
      <c r="O30" s="18">
        <f>SMALL(D30:M30,1)</f>
        <v>22554</v>
      </c>
      <c r="P30" s="1">
        <v>18259</v>
      </c>
      <c r="Q30" s="18">
        <v>16924</v>
      </c>
    </row>
    <row r="31" spans="2:17" x14ac:dyDescent="0.25">
      <c r="B31" s="22"/>
      <c r="C31" s="3" t="s">
        <v>3</v>
      </c>
      <c r="D31" s="4">
        <v>127</v>
      </c>
      <c r="E31" s="6">
        <v>138</v>
      </c>
      <c r="F31" s="6">
        <v>122</v>
      </c>
      <c r="G31" s="6">
        <v>121</v>
      </c>
      <c r="H31" s="6">
        <v>138</v>
      </c>
      <c r="I31" s="6"/>
      <c r="J31" s="6"/>
      <c r="K31" s="6"/>
      <c r="L31" s="6"/>
      <c r="M31" s="71"/>
      <c r="N31" s="71"/>
      <c r="O31" s="33"/>
      <c r="P31" s="36">
        <v>300</v>
      </c>
      <c r="Q31" s="36">
        <v>3600</v>
      </c>
    </row>
    <row r="32" spans="2:17" x14ac:dyDescent="0.25">
      <c r="B32" s="26">
        <v>8</v>
      </c>
      <c r="C32" s="8" t="s">
        <v>1</v>
      </c>
      <c r="D32" s="94">
        <v>180636</v>
      </c>
      <c r="E32" s="10">
        <v>179433</v>
      </c>
      <c r="F32" s="10">
        <v>169344</v>
      </c>
      <c r="G32" s="10">
        <v>165262</v>
      </c>
      <c r="H32" s="10">
        <v>170437</v>
      </c>
      <c r="I32" s="10">
        <v>999999</v>
      </c>
      <c r="J32" s="10">
        <v>999999</v>
      </c>
      <c r="K32" s="10">
        <v>999999</v>
      </c>
      <c r="L32" s="10">
        <v>999999</v>
      </c>
      <c r="M32" s="75">
        <v>999999</v>
      </c>
      <c r="N32" s="72" t="s">
        <v>22</v>
      </c>
      <c r="O32" s="82">
        <f>(O34-P34)/P34</f>
        <v>-2.859932778653027E-3</v>
      </c>
      <c r="P32" s="9"/>
      <c r="Q32" s="34"/>
    </row>
    <row r="33" spans="2:17" x14ac:dyDescent="0.25">
      <c r="B33" s="23"/>
      <c r="C33" s="8" t="s">
        <v>2</v>
      </c>
      <c r="D33" s="9">
        <v>9818942</v>
      </c>
      <c r="E33" s="10">
        <v>10893214</v>
      </c>
      <c r="F33" s="10">
        <v>10417625</v>
      </c>
      <c r="G33" s="10">
        <v>10072118</v>
      </c>
      <c r="H33" s="10">
        <v>11159143</v>
      </c>
      <c r="I33" s="10"/>
      <c r="J33" s="10"/>
      <c r="K33" s="10"/>
      <c r="L33" s="10"/>
      <c r="M33" s="75"/>
      <c r="N33" s="72" t="s">
        <v>21</v>
      </c>
      <c r="O33" s="83">
        <f>(O34-Q34)/Q34</f>
        <v>1.5187903491960487E-2</v>
      </c>
      <c r="P33" s="9"/>
      <c r="Q33" s="34"/>
    </row>
    <row r="34" spans="2:17" x14ac:dyDescent="0.25">
      <c r="B34" s="23"/>
      <c r="C34" s="15" t="s">
        <v>4</v>
      </c>
      <c r="D34" s="17">
        <f>TRUNC(($R5*D33)+D32,0)</f>
        <v>190454</v>
      </c>
      <c r="E34" s="17">
        <f>TRUNC(($R5*E33)+E32,0)</f>
        <v>190326</v>
      </c>
      <c r="F34" s="17">
        <f t="shared" ref="F34:M34" si="7">($R5*F33)+F32</f>
        <v>179761.625</v>
      </c>
      <c r="G34" s="17">
        <f t="shared" si="7"/>
        <v>175334.11799999999</v>
      </c>
      <c r="H34" s="17">
        <f t="shared" si="7"/>
        <v>181596.14300000001</v>
      </c>
      <c r="I34" s="17">
        <f t="shared" si="7"/>
        <v>999999</v>
      </c>
      <c r="J34" s="17">
        <f t="shared" si="7"/>
        <v>999999</v>
      </c>
      <c r="K34" s="17">
        <f t="shared" si="7"/>
        <v>999999</v>
      </c>
      <c r="L34" s="17">
        <f t="shared" si="7"/>
        <v>999999</v>
      </c>
      <c r="M34" s="76">
        <f t="shared" si="7"/>
        <v>999999</v>
      </c>
      <c r="N34" s="73"/>
      <c r="O34" s="17">
        <f>SMALL(D34:M34,1)</f>
        <v>175334.11799999999</v>
      </c>
      <c r="P34" s="9">
        <v>175837</v>
      </c>
      <c r="Q34" s="17">
        <v>172711</v>
      </c>
    </row>
    <row r="35" spans="2:17" x14ac:dyDescent="0.25">
      <c r="B35" s="24"/>
      <c r="C35" s="11" t="s">
        <v>3</v>
      </c>
      <c r="D35" s="12">
        <v>115</v>
      </c>
      <c r="E35" s="13">
        <v>129</v>
      </c>
      <c r="F35" s="13">
        <v>259</v>
      </c>
      <c r="G35" s="13">
        <v>179</v>
      </c>
      <c r="H35" s="13">
        <v>134</v>
      </c>
      <c r="I35" s="13"/>
      <c r="J35" s="13"/>
      <c r="K35" s="13"/>
      <c r="L35" s="13"/>
      <c r="M35" s="74"/>
      <c r="N35" s="75"/>
      <c r="O35" s="37"/>
      <c r="P35" s="37">
        <v>300</v>
      </c>
      <c r="Q35" s="37">
        <v>3600</v>
      </c>
    </row>
    <row r="36" spans="2:17" x14ac:dyDescent="0.25">
      <c r="B36" s="25">
        <v>9</v>
      </c>
      <c r="C36" s="2" t="s">
        <v>1</v>
      </c>
      <c r="D36" s="98">
        <v>25278</v>
      </c>
      <c r="E36" s="5">
        <v>17119</v>
      </c>
      <c r="F36" s="5">
        <v>25223</v>
      </c>
      <c r="G36" s="5">
        <v>16866</v>
      </c>
      <c r="H36" s="5">
        <v>21439</v>
      </c>
      <c r="I36" s="5">
        <v>999999</v>
      </c>
      <c r="J36" s="5">
        <v>999999</v>
      </c>
      <c r="K36" s="5">
        <v>999999</v>
      </c>
      <c r="L36" s="5">
        <v>999999</v>
      </c>
      <c r="M36" s="63">
        <v>999999</v>
      </c>
      <c r="N36" s="81" t="s">
        <v>22</v>
      </c>
      <c r="O36" s="84">
        <f>(O38-P38)/P38</f>
        <v>0.3219652126400146</v>
      </c>
      <c r="P36" s="1"/>
      <c r="Q36" s="33"/>
    </row>
    <row r="37" spans="2:17" x14ac:dyDescent="0.25">
      <c r="B37" s="21"/>
      <c r="C37" s="2" t="s">
        <v>2</v>
      </c>
      <c r="D37" s="1">
        <v>11710075</v>
      </c>
      <c r="E37" s="5">
        <v>12290216</v>
      </c>
      <c r="F37" s="5">
        <v>11142345</v>
      </c>
      <c r="G37" s="5">
        <v>12167838</v>
      </c>
      <c r="H37" s="5">
        <v>11388936</v>
      </c>
      <c r="I37" s="5"/>
      <c r="J37" s="5"/>
      <c r="K37" s="5"/>
      <c r="L37" s="5"/>
      <c r="M37" s="63"/>
      <c r="N37" s="68" t="s">
        <v>21</v>
      </c>
      <c r="O37" s="85">
        <f>(O38-Q38)/Q38</f>
        <v>0.32546566837107377</v>
      </c>
      <c r="P37" s="1"/>
      <c r="Q37" s="33"/>
    </row>
    <row r="38" spans="2:17" x14ac:dyDescent="0.25">
      <c r="B38" s="21"/>
      <c r="C38" s="14" t="s">
        <v>4</v>
      </c>
      <c r="D38" s="18">
        <f>TRUNC(($R5*D37)+D36,0)</f>
        <v>36988</v>
      </c>
      <c r="E38" s="18">
        <f t="shared" ref="E38:M38" si="8">TRUNC(($R5*E37)+E36,0)</f>
        <v>29409</v>
      </c>
      <c r="F38" s="18">
        <f t="shared" si="8"/>
        <v>36365</v>
      </c>
      <c r="G38" s="18">
        <f t="shared" si="8"/>
        <v>29033</v>
      </c>
      <c r="H38" s="18">
        <f t="shared" si="8"/>
        <v>32827</v>
      </c>
      <c r="I38" s="18">
        <f t="shared" si="8"/>
        <v>999999</v>
      </c>
      <c r="J38" s="18">
        <f t="shared" si="8"/>
        <v>999999</v>
      </c>
      <c r="K38" s="18">
        <f t="shared" si="8"/>
        <v>999999</v>
      </c>
      <c r="L38" s="18">
        <f t="shared" si="8"/>
        <v>999999</v>
      </c>
      <c r="M38" s="79">
        <f t="shared" si="8"/>
        <v>999999</v>
      </c>
      <c r="N38" s="70"/>
      <c r="O38" s="18">
        <f>SMALL(D38:M38,1)</f>
        <v>29033</v>
      </c>
      <c r="P38" s="1">
        <v>21962</v>
      </c>
      <c r="Q38" s="18">
        <v>21904</v>
      </c>
    </row>
    <row r="39" spans="2:17" x14ac:dyDescent="0.25">
      <c r="B39" s="22"/>
      <c r="C39" s="3" t="s">
        <v>3</v>
      </c>
      <c r="D39" s="4">
        <v>132</v>
      </c>
      <c r="E39" s="6">
        <v>139</v>
      </c>
      <c r="F39" s="6">
        <v>114</v>
      </c>
      <c r="G39" s="6">
        <v>119</v>
      </c>
      <c r="H39" s="6">
        <v>118</v>
      </c>
      <c r="I39" s="6"/>
      <c r="J39" s="6"/>
      <c r="K39" s="6"/>
      <c r="L39" s="6"/>
      <c r="M39" s="71"/>
      <c r="N39" s="71"/>
      <c r="O39" s="33"/>
      <c r="P39" s="36">
        <v>300</v>
      </c>
      <c r="Q39" s="36">
        <v>3600</v>
      </c>
    </row>
    <row r="40" spans="2:17" x14ac:dyDescent="0.25">
      <c r="B40" s="26">
        <v>10</v>
      </c>
      <c r="C40" s="8" t="s">
        <v>1</v>
      </c>
      <c r="D40" s="94">
        <v>10256</v>
      </c>
      <c r="E40" s="10">
        <v>7417</v>
      </c>
      <c r="F40" s="10">
        <v>7635</v>
      </c>
      <c r="G40" s="10">
        <v>16500</v>
      </c>
      <c r="H40" s="10">
        <v>7976</v>
      </c>
      <c r="I40" s="10">
        <v>999999</v>
      </c>
      <c r="J40" s="10">
        <v>999999</v>
      </c>
      <c r="K40" s="10">
        <v>999999</v>
      </c>
      <c r="L40" s="10">
        <v>999999</v>
      </c>
      <c r="M40" s="75">
        <v>999999</v>
      </c>
      <c r="N40" s="72" t="s">
        <v>22</v>
      </c>
      <c r="O40" s="82">
        <f>(O42-P42)/P42</f>
        <v>0.45987239758227</v>
      </c>
      <c r="P40" s="9"/>
      <c r="Q40" s="34"/>
    </row>
    <row r="41" spans="2:17" x14ac:dyDescent="0.25">
      <c r="B41" s="23"/>
      <c r="C41" s="8" t="s">
        <v>2</v>
      </c>
      <c r="D41" s="9">
        <v>10713592</v>
      </c>
      <c r="E41" s="10">
        <v>11549028</v>
      </c>
      <c r="F41" s="10">
        <v>10962621</v>
      </c>
      <c r="G41" s="10">
        <v>12878911</v>
      </c>
      <c r="H41" s="10">
        <v>9414512</v>
      </c>
      <c r="I41" s="10"/>
      <c r="J41" s="10"/>
      <c r="K41" s="10"/>
      <c r="L41" s="10"/>
      <c r="M41" s="75"/>
      <c r="N41" s="72" t="s">
        <v>21</v>
      </c>
      <c r="O41" s="83">
        <f>(O42-Q42)/Q42</f>
        <v>0.55392726297917971</v>
      </c>
      <c r="P41" s="9"/>
      <c r="Q41" s="34"/>
    </row>
    <row r="42" spans="2:17" x14ac:dyDescent="0.25">
      <c r="B42" s="23"/>
      <c r="C42" s="15" t="s">
        <v>4</v>
      </c>
      <c r="D42" s="17">
        <f>TRUNC(($R5*D41)+D40,0)</f>
        <v>20969</v>
      </c>
      <c r="E42" s="17">
        <f t="shared" ref="E42:M42" si="9">TRUNC(($R5*E41)+E40,0)</f>
        <v>18966</v>
      </c>
      <c r="F42" s="17">
        <f t="shared" si="9"/>
        <v>18597</v>
      </c>
      <c r="G42" s="17">
        <f t="shared" si="9"/>
        <v>29378</v>
      </c>
      <c r="H42" s="17">
        <f t="shared" si="9"/>
        <v>17390</v>
      </c>
      <c r="I42" s="17">
        <f t="shared" si="9"/>
        <v>999999</v>
      </c>
      <c r="J42" s="17">
        <f t="shared" si="9"/>
        <v>999999</v>
      </c>
      <c r="K42" s="17">
        <f t="shared" si="9"/>
        <v>999999</v>
      </c>
      <c r="L42" s="17">
        <f t="shared" si="9"/>
        <v>999999</v>
      </c>
      <c r="M42" s="76">
        <f t="shared" si="9"/>
        <v>999999</v>
      </c>
      <c r="N42" s="73"/>
      <c r="O42" s="17">
        <f>SMALL(D42:M42,1)</f>
        <v>17390</v>
      </c>
      <c r="P42" s="9">
        <v>11912</v>
      </c>
      <c r="Q42" s="17">
        <v>11191</v>
      </c>
    </row>
    <row r="43" spans="2:17" x14ac:dyDescent="0.25">
      <c r="B43" s="27"/>
      <c r="C43" s="28" t="s">
        <v>3</v>
      </c>
      <c r="D43" s="29">
        <v>120</v>
      </c>
      <c r="E43" s="30">
        <v>123</v>
      </c>
      <c r="F43" s="30">
        <v>119</v>
      </c>
      <c r="G43" s="30">
        <v>113</v>
      </c>
      <c r="H43" s="30">
        <v>124</v>
      </c>
      <c r="I43" s="30"/>
      <c r="J43" s="30"/>
      <c r="K43" s="30"/>
      <c r="L43" s="30"/>
      <c r="M43" s="80"/>
      <c r="N43" s="80"/>
      <c r="O43" s="35"/>
      <c r="P43" s="29">
        <v>300</v>
      </c>
      <c r="Q43" s="35">
        <v>3600</v>
      </c>
    </row>
  </sheetData>
  <mergeCells count="3">
    <mergeCell ref="B3:C3"/>
    <mergeCell ref="B2:C2"/>
    <mergeCell ref="N3:O3"/>
  </mergeCells>
  <conditionalFormatting sqref="D4:N4">
    <cfRule type="cellIs" dxfId="33" priority="14" operator="equal">
      <formula>999999</formula>
    </cfRule>
  </conditionalFormatting>
  <conditionalFormatting sqref="D8:N8">
    <cfRule type="cellIs" dxfId="32" priority="9" operator="equal">
      <formula>999999</formula>
    </cfRule>
  </conditionalFormatting>
  <conditionalFormatting sqref="D12:N12">
    <cfRule type="cellIs" dxfId="31" priority="5" operator="equal">
      <formula>999999</formula>
    </cfRule>
  </conditionalFormatting>
  <conditionalFormatting sqref="D16:N16">
    <cfRule type="cellIs" dxfId="30" priority="8" operator="equal">
      <formula>999999</formula>
    </cfRule>
  </conditionalFormatting>
  <conditionalFormatting sqref="D20:N20">
    <cfRule type="cellIs" dxfId="29" priority="7" operator="equal">
      <formula>999999</formula>
    </cfRule>
  </conditionalFormatting>
  <conditionalFormatting sqref="D24:N24">
    <cfRule type="cellIs" dxfId="28" priority="6" operator="equal">
      <formula>999999</formula>
    </cfRule>
  </conditionalFormatting>
  <conditionalFormatting sqref="D28:N28">
    <cfRule type="cellIs" dxfId="27" priority="4" operator="equal">
      <formula>999999</formula>
    </cfRule>
  </conditionalFormatting>
  <conditionalFormatting sqref="D32:N32">
    <cfRule type="cellIs" dxfId="26" priority="3" operator="equal">
      <formula>999999</formula>
    </cfRule>
  </conditionalFormatting>
  <conditionalFormatting sqref="D36:N36">
    <cfRule type="cellIs" dxfId="25" priority="2" operator="equal">
      <formula>999999</formula>
    </cfRule>
  </conditionalFormatting>
  <conditionalFormatting sqref="D40:N40">
    <cfRule type="cellIs" dxfId="24" priority="1" operator="equal">
      <formula>999999</formula>
    </cfRule>
  </conditionalFormatting>
  <conditionalFormatting sqref="O6">
    <cfRule type="cellIs" dxfId="23" priority="15" operator="equal">
      <formula>$P$34</formula>
    </cfRule>
  </conditionalFormatting>
  <conditionalFormatting sqref="O10">
    <cfRule type="cellIs" dxfId="22" priority="16" operator="equal">
      <formula>$P$34</formula>
    </cfRule>
  </conditionalFormatting>
  <conditionalFormatting sqref="O14">
    <cfRule type="cellIs" dxfId="21" priority="17" operator="equal">
      <formula>$P$34</formula>
    </cfRule>
  </conditionalFormatting>
  <conditionalFormatting sqref="O18">
    <cfRule type="cellIs" dxfId="20" priority="18" operator="equal">
      <formula>$P$34</formula>
    </cfRule>
  </conditionalFormatting>
  <conditionalFormatting sqref="O22">
    <cfRule type="cellIs" dxfId="19" priority="19" operator="equal">
      <formula>$P$34</formula>
    </cfRule>
  </conditionalFormatting>
  <conditionalFormatting sqref="O26">
    <cfRule type="cellIs" dxfId="18" priority="20" operator="equal">
      <formula>$P$34</formula>
    </cfRule>
  </conditionalFormatting>
  <conditionalFormatting sqref="O30">
    <cfRule type="cellIs" dxfId="17" priority="21" operator="equal">
      <formula>$P$34</formula>
    </cfRule>
  </conditionalFormatting>
  <conditionalFormatting sqref="O38">
    <cfRule type="cellIs" dxfId="16" priority="23" operator="equal">
      <formula>$P$34</formula>
    </cfRule>
  </conditionalFormatting>
  <conditionalFormatting sqref="O42">
    <cfRule type="cellIs" dxfId="15" priority="22" operator="equal">
      <formula>$P$34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43"/>
  <sheetViews>
    <sheetView workbookViewId="0">
      <selection activeCell="Q43" sqref="Q43"/>
    </sheetView>
  </sheetViews>
  <sheetFormatPr defaultRowHeight="15" x14ac:dyDescent="0.25"/>
  <cols>
    <col min="1" max="1" width="2.5703125" customWidth="1"/>
    <col min="2" max="2" width="6.140625" customWidth="1"/>
    <col min="18" max="18" width="26.140625" customWidth="1"/>
  </cols>
  <sheetData>
    <row r="2" spans="2:18" x14ac:dyDescent="0.25">
      <c r="B2" s="172" t="s">
        <v>23</v>
      </c>
      <c r="C2" s="172"/>
      <c r="D2" s="57" t="s">
        <v>20</v>
      </c>
      <c r="E2" s="57" t="s">
        <v>20</v>
      </c>
      <c r="F2" s="57" t="s">
        <v>20</v>
      </c>
      <c r="G2" s="57" t="s">
        <v>20</v>
      </c>
      <c r="H2" s="57" t="s">
        <v>20</v>
      </c>
      <c r="I2" s="57" t="s">
        <v>20</v>
      </c>
      <c r="J2" s="57" t="s">
        <v>20</v>
      </c>
      <c r="K2" s="57" t="s">
        <v>20</v>
      </c>
      <c r="L2" s="57" t="s">
        <v>20</v>
      </c>
      <c r="M2" s="57" t="s">
        <v>20</v>
      </c>
      <c r="N2" s="40"/>
      <c r="P2" s="39" t="s">
        <v>10</v>
      </c>
      <c r="Q2" s="39" t="s">
        <v>9</v>
      </c>
    </row>
    <row r="3" spans="2:18" x14ac:dyDescent="0.25">
      <c r="B3" s="171" t="s">
        <v>19</v>
      </c>
      <c r="C3" s="171"/>
      <c r="D3" s="7">
        <v>1</v>
      </c>
      <c r="E3" s="7">
        <v>2</v>
      </c>
      <c r="F3" s="7">
        <v>3</v>
      </c>
      <c r="G3" s="7">
        <v>4</v>
      </c>
      <c r="H3" s="7">
        <v>5</v>
      </c>
      <c r="I3" s="7">
        <v>6</v>
      </c>
      <c r="J3" s="7">
        <v>7</v>
      </c>
      <c r="K3" s="7">
        <v>8</v>
      </c>
      <c r="L3" s="7">
        <v>9</v>
      </c>
      <c r="M3" s="7">
        <v>10</v>
      </c>
      <c r="N3" s="173" t="s">
        <v>7</v>
      </c>
      <c r="O3" s="174"/>
      <c r="P3" s="7" t="s">
        <v>8</v>
      </c>
      <c r="Q3" s="38" t="s">
        <v>8</v>
      </c>
      <c r="R3" s="53" t="s">
        <v>5</v>
      </c>
    </row>
    <row r="4" spans="2:18" x14ac:dyDescent="0.25">
      <c r="B4" s="21">
        <v>1</v>
      </c>
      <c r="C4" s="2" t="s">
        <v>1</v>
      </c>
      <c r="D4" s="1"/>
      <c r="E4" s="5"/>
      <c r="F4" s="5"/>
      <c r="G4" s="5"/>
      <c r="H4" s="5"/>
      <c r="I4" s="5"/>
      <c r="J4" s="5"/>
      <c r="K4" s="5"/>
      <c r="L4" s="5"/>
      <c r="M4" s="63">
        <v>999999</v>
      </c>
      <c r="N4" s="66" t="s">
        <v>22</v>
      </c>
      <c r="O4" s="111"/>
      <c r="P4" s="1"/>
      <c r="Q4" s="1"/>
      <c r="R4" s="54" t="s">
        <v>6</v>
      </c>
    </row>
    <row r="5" spans="2:18" x14ac:dyDescent="0.25">
      <c r="B5" s="21"/>
      <c r="C5" s="2" t="s">
        <v>2</v>
      </c>
      <c r="D5" s="1"/>
      <c r="E5" s="5"/>
      <c r="F5" s="5"/>
      <c r="G5" s="5"/>
      <c r="H5" s="5"/>
      <c r="I5" s="5"/>
      <c r="J5" s="5"/>
      <c r="K5" s="5"/>
      <c r="L5" s="5"/>
      <c r="M5" s="63"/>
      <c r="N5" s="68" t="s">
        <v>21</v>
      </c>
      <c r="O5" s="1"/>
      <c r="P5" s="1"/>
      <c r="Q5" s="1"/>
      <c r="R5" s="55">
        <v>1E-3</v>
      </c>
    </row>
    <row r="6" spans="2:18" x14ac:dyDescent="0.25">
      <c r="B6" s="21"/>
      <c r="C6" s="14" t="s">
        <v>4</v>
      </c>
      <c r="D6" s="16">
        <f>TRUNC(($R5*D5)+D4,0)</f>
        <v>0</v>
      </c>
      <c r="E6" s="16">
        <f t="shared" ref="E6:M6" si="0">TRUNC(($R5*E5)+E4,0)</f>
        <v>0</v>
      </c>
      <c r="F6" s="16">
        <f t="shared" si="0"/>
        <v>0</v>
      </c>
      <c r="G6" s="16">
        <f t="shared" si="0"/>
        <v>0</v>
      </c>
      <c r="H6" s="16">
        <f t="shared" si="0"/>
        <v>0</v>
      </c>
      <c r="I6" s="16">
        <f t="shared" si="0"/>
        <v>0</v>
      </c>
      <c r="J6" s="16">
        <f t="shared" si="0"/>
        <v>0</v>
      </c>
      <c r="K6" s="16">
        <f t="shared" si="0"/>
        <v>0</v>
      </c>
      <c r="L6" s="16">
        <f t="shared" si="0"/>
        <v>0</v>
      </c>
      <c r="M6" s="64">
        <f t="shared" si="0"/>
        <v>999999</v>
      </c>
      <c r="N6" s="70"/>
      <c r="O6" s="18">
        <f>SMALL(D6:M6,1)</f>
        <v>0</v>
      </c>
      <c r="P6" s="1">
        <v>40379</v>
      </c>
      <c r="Q6" s="16">
        <v>40190</v>
      </c>
    </row>
    <row r="7" spans="2:18" x14ac:dyDescent="0.25">
      <c r="B7" s="22"/>
      <c r="C7" s="3" t="s">
        <v>3</v>
      </c>
      <c r="D7" s="4"/>
      <c r="E7" s="6"/>
      <c r="F7" s="6"/>
      <c r="G7" s="6"/>
      <c r="H7" s="6"/>
      <c r="I7" s="6"/>
      <c r="J7" s="6"/>
      <c r="K7" s="6"/>
      <c r="L7" s="6"/>
      <c r="M7" s="71"/>
      <c r="N7" s="63"/>
      <c r="O7" s="33"/>
      <c r="P7" s="36">
        <v>300</v>
      </c>
      <c r="Q7" s="36">
        <v>3600</v>
      </c>
    </row>
    <row r="8" spans="2:18" x14ac:dyDescent="0.25">
      <c r="B8" s="23">
        <v>2</v>
      </c>
      <c r="C8" s="8" t="s">
        <v>1</v>
      </c>
      <c r="D8" s="9"/>
      <c r="E8" s="10"/>
      <c r="F8" s="10"/>
      <c r="G8" s="10"/>
      <c r="H8" s="10"/>
      <c r="I8" s="10"/>
      <c r="J8" s="10"/>
      <c r="K8" s="10"/>
      <c r="L8" s="10"/>
      <c r="M8" s="75">
        <v>999999</v>
      </c>
      <c r="N8" s="77" t="s">
        <v>22</v>
      </c>
      <c r="O8" s="78"/>
      <c r="P8" s="9"/>
      <c r="Q8" s="34"/>
    </row>
    <row r="9" spans="2:18" x14ac:dyDescent="0.25">
      <c r="B9" s="23"/>
      <c r="C9" s="8" t="s">
        <v>2</v>
      </c>
      <c r="D9" s="9"/>
      <c r="E9" s="10"/>
      <c r="F9" s="10"/>
      <c r="G9" s="10"/>
      <c r="H9" s="10"/>
      <c r="I9" s="10"/>
      <c r="J9" s="10"/>
      <c r="K9" s="10"/>
      <c r="L9" s="10"/>
      <c r="M9" s="75"/>
      <c r="N9" s="72" t="s">
        <v>21</v>
      </c>
      <c r="O9" s="34"/>
      <c r="P9" s="9"/>
      <c r="Q9" s="34"/>
    </row>
    <row r="10" spans="2:18" x14ac:dyDescent="0.25">
      <c r="B10" s="23"/>
      <c r="C10" s="15" t="s">
        <v>4</v>
      </c>
      <c r="D10" s="17">
        <f>TRUNC(($R5*D9)+D8,0)</f>
        <v>0</v>
      </c>
      <c r="E10" s="17">
        <f t="shared" ref="E10:M10" si="1">TRUNC(($R5*E9)+E8,0)</f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7">
        <f t="shared" si="1"/>
        <v>0</v>
      </c>
      <c r="K10" s="17">
        <f t="shared" si="1"/>
        <v>0</v>
      </c>
      <c r="L10" s="17">
        <f t="shared" si="1"/>
        <v>0</v>
      </c>
      <c r="M10" s="76">
        <f t="shared" si="1"/>
        <v>999999</v>
      </c>
      <c r="N10" s="73"/>
      <c r="O10" s="17">
        <f>SMALL(D10:M10,1)</f>
        <v>0</v>
      </c>
      <c r="P10" s="9">
        <v>106074</v>
      </c>
      <c r="Q10" s="17">
        <v>105100</v>
      </c>
    </row>
    <row r="11" spans="2:18" x14ac:dyDescent="0.25">
      <c r="B11" s="24"/>
      <c r="C11" s="11" t="s">
        <v>3</v>
      </c>
      <c r="D11" s="12"/>
      <c r="E11" s="13"/>
      <c r="F11" s="13"/>
      <c r="G11" s="13"/>
      <c r="H11" s="13"/>
      <c r="I11" s="13"/>
      <c r="J11" s="13"/>
      <c r="K11" s="13"/>
      <c r="L11" s="13"/>
      <c r="M11" s="74"/>
      <c r="N11" s="75"/>
      <c r="O11" s="37"/>
      <c r="P11" s="37">
        <v>300</v>
      </c>
      <c r="Q11" s="37">
        <v>2891</v>
      </c>
    </row>
    <row r="12" spans="2:18" x14ac:dyDescent="0.25">
      <c r="B12" s="25">
        <v>3</v>
      </c>
      <c r="C12" s="2" t="s">
        <v>1</v>
      </c>
      <c r="D12" s="1"/>
      <c r="E12" s="5"/>
      <c r="F12" s="5"/>
      <c r="G12" s="5"/>
      <c r="H12" s="5"/>
      <c r="I12" s="5"/>
      <c r="J12" s="5"/>
      <c r="K12" s="5"/>
      <c r="L12" s="5"/>
      <c r="M12" s="63">
        <v>999999</v>
      </c>
      <c r="N12" s="81" t="s">
        <v>22</v>
      </c>
      <c r="O12" s="33"/>
      <c r="P12" s="1"/>
      <c r="Q12" s="33"/>
    </row>
    <row r="13" spans="2:18" x14ac:dyDescent="0.25">
      <c r="B13" s="21"/>
      <c r="C13" s="2" t="s">
        <v>2</v>
      </c>
      <c r="D13" s="1"/>
      <c r="E13" s="5"/>
      <c r="F13" s="5"/>
      <c r="G13" s="5"/>
      <c r="H13" s="5"/>
      <c r="I13" s="5"/>
      <c r="J13" s="5"/>
      <c r="K13" s="5"/>
      <c r="L13" s="5"/>
      <c r="M13" s="63"/>
      <c r="N13" s="68" t="s">
        <v>21</v>
      </c>
      <c r="O13" s="33"/>
      <c r="P13" s="1"/>
      <c r="Q13" s="33"/>
    </row>
    <row r="14" spans="2:18" x14ac:dyDescent="0.25">
      <c r="B14" s="21"/>
      <c r="C14" s="14" t="s">
        <v>4</v>
      </c>
      <c r="D14" s="18">
        <f>TRUNC(($R5*D13)+D12,0)</f>
        <v>0</v>
      </c>
      <c r="E14" s="18">
        <f t="shared" ref="E14:M14" si="2">TRUNC(($R5*E13)+E12,0)</f>
        <v>0</v>
      </c>
      <c r="F14" s="18">
        <f t="shared" si="2"/>
        <v>0</v>
      </c>
      <c r="G14" s="18">
        <f t="shared" si="2"/>
        <v>0</v>
      </c>
      <c r="H14" s="18">
        <f t="shared" si="2"/>
        <v>0</v>
      </c>
      <c r="I14" s="18">
        <f t="shared" si="2"/>
        <v>0</v>
      </c>
      <c r="J14" s="18">
        <f t="shared" si="2"/>
        <v>0</v>
      </c>
      <c r="K14" s="18">
        <f t="shared" si="2"/>
        <v>0</v>
      </c>
      <c r="L14" s="18">
        <f t="shared" si="2"/>
        <v>0</v>
      </c>
      <c r="M14" s="79">
        <f t="shared" si="2"/>
        <v>999999</v>
      </c>
      <c r="N14" s="70"/>
      <c r="O14" s="18">
        <f>SMALL(D14:M14,1)</f>
        <v>0</v>
      </c>
      <c r="P14" s="1">
        <v>44767</v>
      </c>
      <c r="Q14" s="18">
        <v>42948</v>
      </c>
    </row>
    <row r="15" spans="2:18" x14ac:dyDescent="0.25">
      <c r="B15" s="22"/>
      <c r="C15" s="3" t="s">
        <v>3</v>
      </c>
      <c r="D15" s="4"/>
      <c r="E15" s="6"/>
      <c r="F15" s="6"/>
      <c r="G15" s="6"/>
      <c r="H15" s="6"/>
      <c r="I15" s="6"/>
      <c r="J15" s="6"/>
      <c r="K15" s="6"/>
      <c r="L15" s="6"/>
      <c r="M15" s="71"/>
      <c r="N15" s="71"/>
      <c r="O15" s="33"/>
      <c r="P15" s="36">
        <v>300</v>
      </c>
      <c r="Q15" s="36">
        <v>3600</v>
      </c>
    </row>
    <row r="16" spans="2:18" x14ac:dyDescent="0.25">
      <c r="B16" s="26">
        <v>4</v>
      </c>
      <c r="C16" s="8" t="s">
        <v>1</v>
      </c>
      <c r="D16" s="9"/>
      <c r="E16" s="10"/>
      <c r="F16" s="10"/>
      <c r="G16" s="10"/>
      <c r="H16" s="10"/>
      <c r="I16" s="10"/>
      <c r="J16" s="10"/>
      <c r="K16" s="10"/>
      <c r="L16" s="10"/>
      <c r="M16" s="75">
        <v>999999</v>
      </c>
      <c r="N16" s="72" t="s">
        <v>22</v>
      </c>
      <c r="O16" s="112"/>
      <c r="P16" s="9"/>
      <c r="Q16" s="34"/>
    </row>
    <row r="17" spans="2:17" x14ac:dyDescent="0.25">
      <c r="B17" s="23"/>
      <c r="C17" s="8" t="s">
        <v>2</v>
      </c>
      <c r="D17" s="9"/>
      <c r="E17" s="10"/>
      <c r="F17" s="10"/>
      <c r="G17" s="10"/>
      <c r="H17" s="10"/>
      <c r="I17" s="10"/>
      <c r="J17" s="10"/>
      <c r="K17" s="10"/>
      <c r="L17" s="10"/>
      <c r="M17" s="75"/>
      <c r="N17" s="72" t="s">
        <v>21</v>
      </c>
      <c r="O17" s="34"/>
      <c r="P17" s="9"/>
      <c r="Q17" s="34"/>
    </row>
    <row r="18" spans="2:17" x14ac:dyDescent="0.25">
      <c r="B18" s="23"/>
      <c r="C18" s="15" t="s">
        <v>4</v>
      </c>
      <c r="D18" s="17">
        <f>TRUNC(($R5*D17)+D16,0)</f>
        <v>0</v>
      </c>
      <c r="E18" s="17">
        <f t="shared" ref="E18:M18" si="3">TRUNC(($R5*E17)+E16,0)</f>
        <v>0</v>
      </c>
      <c r="F18" s="17">
        <f t="shared" si="3"/>
        <v>0</v>
      </c>
      <c r="G18" s="17">
        <f t="shared" si="3"/>
        <v>0</v>
      </c>
      <c r="H18" s="17">
        <f t="shared" si="3"/>
        <v>0</v>
      </c>
      <c r="I18" s="17">
        <f t="shared" si="3"/>
        <v>0</v>
      </c>
      <c r="J18" s="17">
        <f t="shared" si="3"/>
        <v>0</v>
      </c>
      <c r="K18" s="17">
        <f t="shared" si="3"/>
        <v>0</v>
      </c>
      <c r="L18" s="17">
        <f t="shared" si="3"/>
        <v>0</v>
      </c>
      <c r="M18" s="76">
        <f t="shared" si="3"/>
        <v>999999</v>
      </c>
      <c r="N18" s="73"/>
      <c r="O18" s="17">
        <f>SMALL(D18:M18,1)</f>
        <v>0</v>
      </c>
      <c r="P18" s="9">
        <v>131571</v>
      </c>
      <c r="Q18" s="17">
        <v>131571</v>
      </c>
    </row>
    <row r="19" spans="2:17" x14ac:dyDescent="0.25">
      <c r="B19" s="24"/>
      <c r="C19" s="11" t="s">
        <v>3</v>
      </c>
      <c r="D19" s="12"/>
      <c r="E19" s="13"/>
      <c r="F19" s="13"/>
      <c r="G19" s="13"/>
      <c r="H19" s="13"/>
      <c r="I19" s="13"/>
      <c r="J19" s="13"/>
      <c r="K19" s="13"/>
      <c r="L19" s="13"/>
      <c r="M19" s="74"/>
      <c r="N19" s="75"/>
      <c r="O19" s="37"/>
      <c r="P19" s="37">
        <v>300</v>
      </c>
      <c r="Q19" s="37">
        <v>797</v>
      </c>
    </row>
    <row r="20" spans="2:17" x14ac:dyDescent="0.25">
      <c r="B20" s="25">
        <v>5</v>
      </c>
      <c r="C20" s="2" t="s">
        <v>1</v>
      </c>
      <c r="D20" s="1"/>
      <c r="E20" s="5"/>
      <c r="F20" s="5"/>
      <c r="G20" s="5"/>
      <c r="H20" s="5"/>
      <c r="I20" s="5"/>
      <c r="J20" s="5"/>
      <c r="K20" s="5"/>
      <c r="L20" s="5"/>
      <c r="M20" s="63">
        <v>999999</v>
      </c>
      <c r="N20" s="81" t="s">
        <v>22</v>
      </c>
      <c r="O20" s="33"/>
      <c r="P20" s="1"/>
      <c r="Q20" s="33"/>
    </row>
    <row r="21" spans="2:17" x14ac:dyDescent="0.25">
      <c r="B21" s="21"/>
      <c r="C21" s="2" t="s">
        <v>2</v>
      </c>
      <c r="D21" s="1"/>
      <c r="E21" s="5"/>
      <c r="F21" s="5"/>
      <c r="G21" s="5"/>
      <c r="H21" s="5"/>
      <c r="I21" s="5"/>
      <c r="J21" s="5"/>
      <c r="K21" s="5"/>
      <c r="L21" s="5"/>
      <c r="M21" s="63"/>
      <c r="N21" s="68" t="s">
        <v>21</v>
      </c>
      <c r="O21" s="33"/>
      <c r="P21" s="1"/>
      <c r="Q21" s="33"/>
    </row>
    <row r="22" spans="2:17" x14ac:dyDescent="0.25">
      <c r="B22" s="21"/>
      <c r="C22" s="14" t="s">
        <v>4</v>
      </c>
      <c r="D22" s="18">
        <f>TRUNC(($R5*D21)+D20,0)</f>
        <v>0</v>
      </c>
      <c r="E22" s="18">
        <f t="shared" ref="E22:M22" si="4">TRUNC(($R5*E21)+E20,0)</f>
        <v>0</v>
      </c>
      <c r="F22" s="18">
        <f t="shared" si="4"/>
        <v>0</v>
      </c>
      <c r="G22" s="18">
        <f t="shared" si="4"/>
        <v>0</v>
      </c>
      <c r="H22" s="18">
        <f t="shared" si="4"/>
        <v>0</v>
      </c>
      <c r="I22" s="18">
        <f t="shared" si="4"/>
        <v>0</v>
      </c>
      <c r="J22" s="18">
        <f t="shared" si="4"/>
        <v>0</v>
      </c>
      <c r="K22" s="18">
        <f t="shared" si="4"/>
        <v>0</v>
      </c>
      <c r="L22" s="18">
        <f t="shared" si="4"/>
        <v>0</v>
      </c>
      <c r="M22" s="79">
        <f t="shared" si="4"/>
        <v>999999</v>
      </c>
      <c r="N22" s="70"/>
      <c r="O22" s="18">
        <f>SMALL(D22:M22,1)</f>
        <v>0</v>
      </c>
      <c r="P22" s="1">
        <v>38366</v>
      </c>
      <c r="Q22" s="18">
        <v>38203</v>
      </c>
    </row>
    <row r="23" spans="2:17" x14ac:dyDescent="0.25">
      <c r="B23" s="22"/>
      <c r="C23" s="3" t="s">
        <v>3</v>
      </c>
      <c r="D23" s="4"/>
      <c r="E23" s="6"/>
      <c r="F23" s="6"/>
      <c r="G23" s="6"/>
      <c r="H23" s="6"/>
      <c r="I23" s="6"/>
      <c r="J23" s="6"/>
      <c r="K23" s="6"/>
      <c r="L23" s="6"/>
      <c r="M23" s="71"/>
      <c r="N23" s="71"/>
      <c r="O23" s="33"/>
      <c r="P23" s="36">
        <v>300</v>
      </c>
      <c r="Q23" s="36">
        <v>3600</v>
      </c>
    </row>
    <row r="24" spans="2:17" x14ac:dyDescent="0.25">
      <c r="B24" s="23">
        <v>6</v>
      </c>
      <c r="C24" s="8" t="s">
        <v>1</v>
      </c>
      <c r="D24" s="9"/>
      <c r="E24" s="10"/>
      <c r="F24" s="10"/>
      <c r="G24" s="10"/>
      <c r="H24" s="10"/>
      <c r="I24" s="10"/>
      <c r="J24" s="10"/>
      <c r="K24" s="10"/>
      <c r="L24" s="10"/>
      <c r="M24" s="75">
        <v>999999</v>
      </c>
      <c r="N24" s="72" t="s">
        <v>22</v>
      </c>
      <c r="O24" s="78"/>
      <c r="P24" s="9"/>
      <c r="Q24" s="34"/>
    </row>
    <row r="25" spans="2:17" x14ac:dyDescent="0.25">
      <c r="B25" s="23"/>
      <c r="C25" s="8" t="s">
        <v>2</v>
      </c>
      <c r="D25" s="9"/>
      <c r="E25" s="10"/>
      <c r="F25" s="10"/>
      <c r="G25" s="10"/>
      <c r="H25" s="10"/>
      <c r="I25" s="10"/>
      <c r="J25" s="10"/>
      <c r="K25" s="10"/>
      <c r="L25" s="10"/>
      <c r="M25" s="75"/>
      <c r="N25" s="72" t="s">
        <v>21</v>
      </c>
      <c r="O25" s="34"/>
      <c r="P25" s="9"/>
      <c r="Q25" s="34"/>
    </row>
    <row r="26" spans="2:17" x14ac:dyDescent="0.25">
      <c r="B26" s="23"/>
      <c r="C26" s="15" t="s">
        <v>4</v>
      </c>
      <c r="D26" s="17">
        <f>TRUNC(($R5*D25)+D24,0)</f>
        <v>0</v>
      </c>
      <c r="E26" s="17">
        <f t="shared" ref="E26:M26" si="5">TRUNC(($R5*E25)+E24,0)</f>
        <v>0</v>
      </c>
      <c r="F26" s="17">
        <f t="shared" si="5"/>
        <v>0</v>
      </c>
      <c r="G26" s="17">
        <f t="shared" si="5"/>
        <v>0</v>
      </c>
      <c r="H26" s="17">
        <f t="shared" si="5"/>
        <v>0</v>
      </c>
      <c r="I26" s="17">
        <f t="shared" si="5"/>
        <v>0</v>
      </c>
      <c r="J26" s="17">
        <f t="shared" si="5"/>
        <v>0</v>
      </c>
      <c r="K26" s="17">
        <f t="shared" si="5"/>
        <v>0</v>
      </c>
      <c r="L26" s="17">
        <f t="shared" si="5"/>
        <v>0</v>
      </c>
      <c r="M26" s="76">
        <f t="shared" si="5"/>
        <v>999999</v>
      </c>
      <c r="N26" s="73"/>
      <c r="O26" s="17">
        <f>SMALL(D26:M26,1)</f>
        <v>0</v>
      </c>
      <c r="P26" s="9">
        <v>71165</v>
      </c>
      <c r="Q26" s="17">
        <v>70816</v>
      </c>
    </row>
    <row r="27" spans="2:17" x14ac:dyDescent="0.25">
      <c r="B27" s="24"/>
      <c r="C27" s="11" t="s">
        <v>3</v>
      </c>
      <c r="D27" s="12"/>
      <c r="E27" s="13"/>
      <c r="F27" s="13"/>
      <c r="G27" s="13"/>
      <c r="H27" s="13"/>
      <c r="I27" s="13"/>
      <c r="J27" s="13"/>
      <c r="K27" s="13"/>
      <c r="L27" s="13"/>
      <c r="M27" s="74"/>
      <c r="N27" s="75"/>
      <c r="O27" s="37"/>
      <c r="P27" s="37">
        <v>300</v>
      </c>
      <c r="Q27" s="37">
        <v>3600</v>
      </c>
    </row>
    <row r="28" spans="2:17" x14ac:dyDescent="0.25">
      <c r="B28" s="25">
        <v>7</v>
      </c>
      <c r="C28" s="2" t="s">
        <v>1</v>
      </c>
      <c r="D28" s="1"/>
      <c r="E28" s="5"/>
      <c r="F28" s="5"/>
      <c r="G28" s="5"/>
      <c r="H28" s="5"/>
      <c r="I28" s="5"/>
      <c r="J28" s="5"/>
      <c r="K28" s="5"/>
      <c r="L28" s="5"/>
      <c r="M28" s="63">
        <v>999999</v>
      </c>
      <c r="N28" s="81" t="s">
        <v>22</v>
      </c>
      <c r="O28" s="33"/>
      <c r="P28" s="1"/>
      <c r="Q28" s="33"/>
    </row>
    <row r="29" spans="2:17" x14ac:dyDescent="0.25">
      <c r="B29" s="21"/>
      <c r="C29" s="2" t="s">
        <v>2</v>
      </c>
      <c r="D29" s="1"/>
      <c r="E29" s="5"/>
      <c r="F29" s="5"/>
      <c r="G29" s="5"/>
      <c r="H29" s="5"/>
      <c r="I29" s="5"/>
      <c r="J29" s="5"/>
      <c r="K29" s="5"/>
      <c r="L29" s="5"/>
      <c r="M29" s="63"/>
      <c r="N29" s="68" t="s">
        <v>21</v>
      </c>
      <c r="O29" s="33"/>
      <c r="P29" s="1"/>
      <c r="Q29" s="33"/>
    </row>
    <row r="30" spans="2:17" x14ac:dyDescent="0.25">
      <c r="B30" s="21"/>
      <c r="C30" s="14" t="s">
        <v>4</v>
      </c>
      <c r="D30" s="18">
        <f>TRUNC(($R5*D29)+D28,0)</f>
        <v>0</v>
      </c>
      <c r="E30" s="18">
        <f t="shared" ref="E30:M30" si="6">TRUNC(($R5*E29)+E28,0)</f>
        <v>0</v>
      </c>
      <c r="F30" s="18">
        <f t="shared" si="6"/>
        <v>0</v>
      </c>
      <c r="G30" s="18">
        <f t="shared" si="6"/>
        <v>0</v>
      </c>
      <c r="H30" s="18">
        <f t="shared" si="6"/>
        <v>0</v>
      </c>
      <c r="I30" s="18">
        <f t="shared" si="6"/>
        <v>0</v>
      </c>
      <c r="J30" s="18">
        <f t="shared" si="6"/>
        <v>0</v>
      </c>
      <c r="K30" s="18">
        <f t="shared" si="6"/>
        <v>0</v>
      </c>
      <c r="L30" s="18">
        <f t="shared" si="6"/>
        <v>0</v>
      </c>
      <c r="M30" s="79">
        <f t="shared" si="6"/>
        <v>999999</v>
      </c>
      <c r="N30" s="70"/>
      <c r="O30" s="18">
        <f>SMALL(D30:M30,1)</f>
        <v>0</v>
      </c>
      <c r="P30" s="1">
        <v>14073</v>
      </c>
      <c r="Q30" s="18">
        <v>13701</v>
      </c>
    </row>
    <row r="31" spans="2:17" x14ac:dyDescent="0.25">
      <c r="B31" s="22"/>
      <c r="C31" s="3" t="s">
        <v>3</v>
      </c>
      <c r="D31" s="4"/>
      <c r="E31" s="6"/>
      <c r="F31" s="6"/>
      <c r="G31" s="6"/>
      <c r="H31" s="6"/>
      <c r="I31" s="6"/>
      <c r="J31" s="6"/>
      <c r="K31" s="6"/>
      <c r="L31" s="6"/>
      <c r="M31" s="71"/>
      <c r="N31" s="71"/>
      <c r="O31" s="33"/>
      <c r="P31" s="36">
        <v>300</v>
      </c>
      <c r="Q31" s="36">
        <v>3600</v>
      </c>
    </row>
    <row r="32" spans="2:17" x14ac:dyDescent="0.25">
      <c r="B32" s="26">
        <v>8</v>
      </c>
      <c r="C32" s="8" t="s">
        <v>1</v>
      </c>
      <c r="D32" s="9"/>
      <c r="E32" s="10"/>
      <c r="F32" s="10"/>
      <c r="G32" s="10"/>
      <c r="H32" s="10"/>
      <c r="I32" s="10"/>
      <c r="J32" s="10"/>
      <c r="K32" s="10"/>
      <c r="L32" s="10"/>
      <c r="M32" s="75">
        <v>999999</v>
      </c>
      <c r="N32" s="72" t="s">
        <v>22</v>
      </c>
      <c r="O32" s="78"/>
      <c r="P32" s="9"/>
      <c r="Q32" s="34"/>
    </row>
    <row r="33" spans="2:17" x14ac:dyDescent="0.25">
      <c r="B33" s="23"/>
      <c r="C33" s="8" t="s">
        <v>2</v>
      </c>
      <c r="D33" s="9"/>
      <c r="E33" s="10"/>
      <c r="F33" s="10"/>
      <c r="G33" s="10"/>
      <c r="H33" s="10"/>
      <c r="I33" s="10"/>
      <c r="J33" s="10"/>
      <c r="K33" s="10"/>
      <c r="L33" s="10"/>
      <c r="M33" s="75"/>
      <c r="N33" s="72" t="s">
        <v>21</v>
      </c>
      <c r="O33" s="34"/>
      <c r="P33" s="9"/>
      <c r="Q33" s="34"/>
    </row>
    <row r="34" spans="2:17" x14ac:dyDescent="0.25">
      <c r="B34" s="23"/>
      <c r="C34" s="15" t="s">
        <v>4</v>
      </c>
      <c r="D34" s="17">
        <f>TRUNC(($R5*D33)+D32,0)</f>
        <v>0</v>
      </c>
      <c r="E34" s="17">
        <f>TRUNC(($R5*E33)+E32,0)</f>
        <v>0</v>
      </c>
      <c r="F34" s="17">
        <f t="shared" ref="F34:M34" si="7">($R5*F33)+F32</f>
        <v>0</v>
      </c>
      <c r="G34" s="17">
        <f t="shared" si="7"/>
        <v>0</v>
      </c>
      <c r="H34" s="17">
        <f t="shared" si="7"/>
        <v>0</v>
      </c>
      <c r="I34" s="17">
        <f t="shared" si="7"/>
        <v>0</v>
      </c>
      <c r="J34" s="17">
        <f t="shared" si="7"/>
        <v>0</v>
      </c>
      <c r="K34" s="17">
        <f t="shared" si="7"/>
        <v>0</v>
      </c>
      <c r="L34" s="17">
        <f t="shared" si="7"/>
        <v>0</v>
      </c>
      <c r="M34" s="76">
        <f t="shared" si="7"/>
        <v>999999</v>
      </c>
      <c r="N34" s="73"/>
      <c r="O34" s="17">
        <f>SMALL(D34:M34,1)</f>
        <v>0</v>
      </c>
      <c r="P34" s="9">
        <v>169254</v>
      </c>
      <c r="Q34" s="17">
        <v>169018</v>
      </c>
    </row>
    <row r="35" spans="2:17" x14ac:dyDescent="0.25">
      <c r="B35" s="24"/>
      <c r="C35" s="11" t="s">
        <v>3</v>
      </c>
      <c r="D35" s="12"/>
      <c r="E35" s="13"/>
      <c r="F35" s="13"/>
      <c r="G35" s="13"/>
      <c r="H35" s="13"/>
      <c r="I35" s="13"/>
      <c r="J35" s="13"/>
      <c r="K35" s="13"/>
      <c r="L35" s="13"/>
      <c r="M35" s="74"/>
      <c r="N35" s="75"/>
      <c r="O35" s="37"/>
      <c r="P35" s="37">
        <v>300</v>
      </c>
      <c r="Q35" s="37">
        <v>3600</v>
      </c>
    </row>
    <row r="36" spans="2:17" x14ac:dyDescent="0.25">
      <c r="B36" s="25">
        <v>9</v>
      </c>
      <c r="C36" s="2" t="s">
        <v>1</v>
      </c>
      <c r="D36" s="1"/>
      <c r="E36" s="5"/>
      <c r="F36" s="5"/>
      <c r="G36" s="5"/>
      <c r="H36" s="5"/>
      <c r="I36" s="5"/>
      <c r="J36" s="5"/>
      <c r="K36" s="5"/>
      <c r="L36" s="5"/>
      <c r="M36" s="63">
        <v>999999</v>
      </c>
      <c r="N36" s="81" t="s">
        <v>22</v>
      </c>
      <c r="O36" s="33"/>
      <c r="P36" s="1"/>
      <c r="Q36" s="33"/>
    </row>
    <row r="37" spans="2:17" x14ac:dyDescent="0.25">
      <c r="B37" s="21"/>
      <c r="C37" s="2" t="s">
        <v>2</v>
      </c>
      <c r="D37" s="1"/>
      <c r="E37" s="5"/>
      <c r="F37" s="5"/>
      <c r="G37" s="5"/>
      <c r="H37" s="5"/>
      <c r="I37" s="5"/>
      <c r="J37" s="5"/>
      <c r="K37" s="5"/>
      <c r="L37" s="5"/>
      <c r="M37" s="63"/>
      <c r="N37" s="68" t="s">
        <v>21</v>
      </c>
      <c r="O37" s="33"/>
      <c r="P37" s="1"/>
      <c r="Q37" s="33"/>
    </row>
    <row r="38" spans="2:17" x14ac:dyDescent="0.25">
      <c r="B38" s="21"/>
      <c r="C38" s="14" t="s">
        <v>4</v>
      </c>
      <c r="D38" s="18">
        <f>TRUNC(($R5*D37)+D36,0)</f>
        <v>0</v>
      </c>
      <c r="E38" s="18">
        <f t="shared" ref="E38:M38" si="8">TRUNC(($R5*E37)+E36,0)</f>
        <v>0</v>
      </c>
      <c r="F38" s="18">
        <f t="shared" si="8"/>
        <v>0</v>
      </c>
      <c r="G38" s="18">
        <f t="shared" si="8"/>
        <v>0</v>
      </c>
      <c r="H38" s="18">
        <f t="shared" si="8"/>
        <v>0</v>
      </c>
      <c r="I38" s="18">
        <f t="shared" si="8"/>
        <v>0</v>
      </c>
      <c r="J38" s="18">
        <f t="shared" si="8"/>
        <v>0</v>
      </c>
      <c r="K38" s="18">
        <f t="shared" si="8"/>
        <v>0</v>
      </c>
      <c r="L38" s="18">
        <f t="shared" si="8"/>
        <v>0</v>
      </c>
      <c r="M38" s="79">
        <f t="shared" si="8"/>
        <v>999999</v>
      </c>
      <c r="N38" s="70"/>
      <c r="O38" s="18">
        <f>SMALL(D38:M38,1)</f>
        <v>0</v>
      </c>
      <c r="P38" s="1">
        <v>19648</v>
      </c>
      <c r="Q38" s="18">
        <v>18826</v>
      </c>
    </row>
    <row r="39" spans="2:17" x14ac:dyDescent="0.25">
      <c r="B39" s="22"/>
      <c r="C39" s="3" t="s">
        <v>3</v>
      </c>
      <c r="D39" s="4"/>
      <c r="E39" s="6"/>
      <c r="F39" s="6"/>
      <c r="G39" s="6"/>
      <c r="H39" s="6"/>
      <c r="I39" s="6"/>
      <c r="J39" s="6"/>
      <c r="K39" s="6"/>
      <c r="L39" s="6"/>
      <c r="M39" s="71"/>
      <c r="N39" s="71"/>
      <c r="O39" s="33"/>
      <c r="P39" s="36">
        <v>300</v>
      </c>
      <c r="Q39" s="36">
        <v>3600</v>
      </c>
    </row>
    <row r="40" spans="2:17" x14ac:dyDescent="0.25">
      <c r="B40" s="26">
        <v>10</v>
      </c>
      <c r="C40" s="8" t="s">
        <v>1</v>
      </c>
      <c r="D40" s="9"/>
      <c r="E40" s="10"/>
      <c r="F40" s="10"/>
      <c r="G40" s="10"/>
      <c r="H40" s="10"/>
      <c r="I40" s="10"/>
      <c r="J40" s="10"/>
      <c r="K40" s="10"/>
      <c r="L40" s="10"/>
      <c r="M40" s="75">
        <v>999999</v>
      </c>
      <c r="N40" s="72" t="s">
        <v>22</v>
      </c>
      <c r="O40" s="78"/>
      <c r="P40" s="9"/>
      <c r="Q40" s="34"/>
    </row>
    <row r="41" spans="2:17" x14ac:dyDescent="0.25">
      <c r="B41" s="23"/>
      <c r="C41" s="8" t="s">
        <v>2</v>
      </c>
      <c r="D41" s="9"/>
      <c r="E41" s="10"/>
      <c r="F41" s="10"/>
      <c r="G41" s="10"/>
      <c r="H41" s="10"/>
      <c r="I41" s="10"/>
      <c r="J41" s="10"/>
      <c r="K41" s="10"/>
      <c r="L41" s="10"/>
      <c r="M41" s="75"/>
      <c r="N41" s="72" t="s">
        <v>21</v>
      </c>
      <c r="O41" s="34"/>
      <c r="P41" s="9"/>
      <c r="Q41" s="34"/>
    </row>
    <row r="42" spans="2:17" x14ac:dyDescent="0.25">
      <c r="B42" s="23"/>
      <c r="C42" s="15" t="s">
        <v>4</v>
      </c>
      <c r="D42" s="17">
        <f>TRUNC(($R5*D41)+D40,0)</f>
        <v>0</v>
      </c>
      <c r="E42" s="17">
        <f t="shared" ref="E42:M42" si="9">TRUNC(($R5*E41)+E40,0)</f>
        <v>0</v>
      </c>
      <c r="F42" s="17">
        <f t="shared" si="9"/>
        <v>0</v>
      </c>
      <c r="G42" s="17">
        <f t="shared" si="9"/>
        <v>0</v>
      </c>
      <c r="H42" s="17">
        <f t="shared" si="9"/>
        <v>0</v>
      </c>
      <c r="I42" s="17">
        <f t="shared" si="9"/>
        <v>0</v>
      </c>
      <c r="J42" s="17">
        <f t="shared" si="9"/>
        <v>0</v>
      </c>
      <c r="K42" s="17">
        <f t="shared" si="9"/>
        <v>0</v>
      </c>
      <c r="L42" s="17">
        <f t="shared" si="9"/>
        <v>0</v>
      </c>
      <c r="M42" s="76">
        <f t="shared" si="9"/>
        <v>999999</v>
      </c>
      <c r="N42" s="73"/>
      <c r="O42" s="17">
        <f>SMALL(D42:M42,1)</f>
        <v>0</v>
      </c>
      <c r="P42" s="9">
        <v>8642</v>
      </c>
      <c r="Q42" s="17">
        <v>8444</v>
      </c>
    </row>
    <row r="43" spans="2:17" x14ac:dyDescent="0.25">
      <c r="B43" s="27"/>
      <c r="C43" s="28" t="s">
        <v>3</v>
      </c>
      <c r="D43" s="29"/>
      <c r="E43" s="30"/>
      <c r="F43" s="30"/>
      <c r="G43" s="30"/>
      <c r="H43" s="30"/>
      <c r="I43" s="30"/>
      <c r="J43" s="30"/>
      <c r="K43" s="30"/>
      <c r="L43" s="30"/>
      <c r="M43" s="80"/>
      <c r="N43" s="80"/>
      <c r="O43" s="35"/>
      <c r="P43" s="29">
        <v>300</v>
      </c>
      <c r="Q43" s="35">
        <v>3600</v>
      </c>
    </row>
  </sheetData>
  <mergeCells count="3">
    <mergeCell ref="B3:C3"/>
    <mergeCell ref="B2:C2"/>
    <mergeCell ref="N3:O3"/>
  </mergeCells>
  <conditionalFormatting sqref="E4:M4">
    <cfRule type="cellIs" dxfId="14" priority="12" operator="equal">
      <formula>999999</formula>
    </cfRule>
  </conditionalFormatting>
  <conditionalFormatting sqref="E8:M8">
    <cfRule type="cellIs" dxfId="13" priority="11" operator="equal">
      <formula>999999</formula>
    </cfRule>
  </conditionalFormatting>
  <conditionalFormatting sqref="E12:M12 E16:M16 E20:M20 E24:M24 E28:M28 E32:M32 E36:M36 E40:M40">
    <cfRule type="cellIs" dxfId="12" priority="10" operator="equal">
      <formula>999999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2"/>
  <sheetViews>
    <sheetView topLeftCell="A4" workbookViewId="0">
      <selection activeCell="D5" sqref="D5"/>
    </sheetView>
  </sheetViews>
  <sheetFormatPr defaultRowHeight="15" x14ac:dyDescent="0.25"/>
  <cols>
    <col min="1" max="1" width="2.5703125" customWidth="1"/>
    <col min="18" max="18" width="24.28515625" customWidth="1"/>
  </cols>
  <sheetData>
    <row r="1" spans="2:18" x14ac:dyDescent="0.25">
      <c r="B1" s="176" t="s">
        <v>23</v>
      </c>
      <c r="C1" s="176"/>
      <c r="D1" s="40">
        <v>1</v>
      </c>
      <c r="E1" s="40" t="s">
        <v>12</v>
      </c>
      <c r="F1" s="40" t="s">
        <v>13</v>
      </c>
      <c r="G1" s="40" t="s">
        <v>14</v>
      </c>
      <c r="H1" s="40">
        <v>4</v>
      </c>
      <c r="I1" s="40" t="s">
        <v>15</v>
      </c>
      <c r="J1" s="40" t="s">
        <v>16</v>
      </c>
      <c r="K1" s="40"/>
      <c r="L1" s="40"/>
      <c r="M1" s="40"/>
      <c r="N1" s="40"/>
    </row>
    <row r="2" spans="2:18" x14ac:dyDescent="0.25">
      <c r="B2" s="175" t="s">
        <v>11</v>
      </c>
      <c r="C2" s="175"/>
      <c r="D2" s="7">
        <v>1</v>
      </c>
      <c r="E2" s="7">
        <v>2</v>
      </c>
      <c r="F2" s="7">
        <v>3</v>
      </c>
      <c r="G2" s="7">
        <v>4</v>
      </c>
      <c r="H2" s="7">
        <v>5</v>
      </c>
      <c r="I2" s="7">
        <v>6</v>
      </c>
      <c r="J2" s="7">
        <v>7</v>
      </c>
      <c r="K2" s="7">
        <v>8</v>
      </c>
      <c r="L2" s="7">
        <v>9</v>
      </c>
      <c r="M2" s="7">
        <v>10</v>
      </c>
      <c r="N2" s="173" t="s">
        <v>7</v>
      </c>
      <c r="O2" s="174"/>
      <c r="P2" s="7" t="s">
        <v>8</v>
      </c>
      <c r="R2" s="41" t="s">
        <v>25</v>
      </c>
    </row>
    <row r="3" spans="2:18" x14ac:dyDescent="0.25">
      <c r="B3" s="21">
        <v>1</v>
      </c>
      <c r="C3" s="2" t="s">
        <v>1</v>
      </c>
      <c r="D3" s="1">
        <v>34840</v>
      </c>
      <c r="E3" s="5">
        <v>37806</v>
      </c>
      <c r="F3" s="5">
        <v>34840</v>
      </c>
      <c r="G3" s="5">
        <v>34840</v>
      </c>
      <c r="H3" s="5">
        <v>43915</v>
      </c>
      <c r="I3" s="5">
        <v>34840</v>
      </c>
      <c r="J3" s="5">
        <v>39792</v>
      </c>
      <c r="K3" s="5"/>
      <c r="L3" s="5">
        <v>34840</v>
      </c>
      <c r="M3" s="63">
        <v>41332</v>
      </c>
      <c r="N3" s="99" t="s">
        <v>22</v>
      </c>
      <c r="O3" s="67">
        <f>(O5-P5)/P5</f>
        <v>0</v>
      </c>
      <c r="P3" s="1"/>
      <c r="R3" s="43" t="s">
        <v>6</v>
      </c>
    </row>
    <row r="4" spans="2:18" x14ac:dyDescent="0.25">
      <c r="B4" s="21"/>
      <c r="C4" s="2" t="s">
        <v>2</v>
      </c>
      <c r="D4" s="1">
        <v>2138386</v>
      </c>
      <c r="E4" s="5">
        <v>2100402</v>
      </c>
      <c r="F4" s="5">
        <v>2145386</v>
      </c>
      <c r="G4" s="5">
        <v>2138386</v>
      </c>
      <c r="H4" s="5">
        <v>2204086</v>
      </c>
      <c r="I4" s="5">
        <v>2124861</v>
      </c>
      <c r="J4" s="5">
        <v>2116313</v>
      </c>
      <c r="K4" s="5"/>
      <c r="L4" s="5">
        <v>2124861</v>
      </c>
      <c r="M4" s="63">
        <v>2092953</v>
      </c>
      <c r="N4" s="100"/>
      <c r="O4" s="69"/>
      <c r="P4" s="1"/>
      <c r="R4" s="42">
        <v>1E-3</v>
      </c>
    </row>
    <row r="5" spans="2:18" x14ac:dyDescent="0.25">
      <c r="B5" s="21"/>
      <c r="C5" s="14" t="s">
        <v>4</v>
      </c>
      <c r="D5" s="16">
        <f>TRUNC(($R4*D4)+D3,0)</f>
        <v>36978</v>
      </c>
      <c r="E5" s="16">
        <f t="shared" ref="E5:M5" si="0">TRUNC(($R4*E4)+E3,0)</f>
        <v>39906</v>
      </c>
      <c r="F5" s="16">
        <f t="shared" si="0"/>
        <v>36985</v>
      </c>
      <c r="G5" s="16">
        <f t="shared" si="0"/>
        <v>36978</v>
      </c>
      <c r="H5" s="16">
        <f t="shared" si="0"/>
        <v>46119</v>
      </c>
      <c r="I5" s="16">
        <f t="shared" si="0"/>
        <v>36964</v>
      </c>
      <c r="J5" s="16">
        <f t="shared" si="0"/>
        <v>41908</v>
      </c>
      <c r="K5" s="16"/>
      <c r="L5" s="16">
        <f t="shared" si="0"/>
        <v>36964</v>
      </c>
      <c r="M5" s="64">
        <f t="shared" si="0"/>
        <v>43424</v>
      </c>
      <c r="N5" s="101"/>
      <c r="O5" s="86">
        <f>SMALL(D5:M5,1)</f>
        <v>36964</v>
      </c>
      <c r="P5" s="1">
        <v>36964</v>
      </c>
    </row>
    <row r="6" spans="2:18" x14ac:dyDescent="0.25">
      <c r="B6" s="22"/>
      <c r="C6" s="3" t="s">
        <v>3</v>
      </c>
      <c r="D6" s="4">
        <v>19</v>
      </c>
      <c r="E6" s="6">
        <v>142</v>
      </c>
      <c r="F6" s="6">
        <v>24</v>
      </c>
      <c r="G6" s="6">
        <v>35</v>
      </c>
      <c r="H6" s="6">
        <v>25</v>
      </c>
      <c r="I6" s="6">
        <v>24</v>
      </c>
      <c r="J6" s="6">
        <v>269</v>
      </c>
      <c r="K6" s="6"/>
      <c r="L6" s="6">
        <v>20</v>
      </c>
      <c r="M6" s="71">
        <v>50</v>
      </c>
      <c r="N6" s="100"/>
      <c r="O6" s="33"/>
      <c r="P6" s="36">
        <v>8</v>
      </c>
      <c r="R6" s="43" t="s">
        <v>24</v>
      </c>
    </row>
    <row r="7" spans="2:18" x14ac:dyDescent="0.25">
      <c r="B7" s="23">
        <v>2</v>
      </c>
      <c r="C7" s="8" t="s">
        <v>1</v>
      </c>
      <c r="D7" s="9">
        <v>98732</v>
      </c>
      <c r="E7" s="10">
        <v>97953</v>
      </c>
      <c r="F7" s="10">
        <v>98876</v>
      </c>
      <c r="G7" s="10">
        <v>98732</v>
      </c>
      <c r="H7" s="10">
        <v>97953</v>
      </c>
      <c r="I7" s="10">
        <v>97953</v>
      </c>
      <c r="J7" s="10">
        <v>97953</v>
      </c>
      <c r="K7" s="10"/>
      <c r="L7" s="10">
        <v>98732</v>
      </c>
      <c r="M7" s="75">
        <v>97953</v>
      </c>
      <c r="N7" s="107" t="s">
        <v>22</v>
      </c>
      <c r="O7" s="115">
        <f>(O9-P9)/P9</f>
        <v>0</v>
      </c>
      <c r="P7" s="9"/>
      <c r="R7" s="117">
        <f>AVERAGE(O3,O7,O11,O15,O19,O23,O27,O31,O35,O39)</f>
        <v>4.1902353606319075E-2</v>
      </c>
    </row>
    <row r="8" spans="2:18" x14ac:dyDescent="0.25">
      <c r="B8" s="23"/>
      <c r="C8" s="8" t="s">
        <v>2</v>
      </c>
      <c r="D8" s="9">
        <v>1979738</v>
      </c>
      <c r="E8" s="10">
        <v>1997709</v>
      </c>
      <c r="F8" s="10">
        <v>2021357</v>
      </c>
      <c r="G8" s="10">
        <v>1979738</v>
      </c>
      <c r="H8" s="10">
        <v>1997709</v>
      </c>
      <c r="I8" s="10">
        <v>1997709</v>
      </c>
      <c r="J8" s="10">
        <v>1997709</v>
      </c>
      <c r="K8" s="10"/>
      <c r="L8" s="10">
        <v>1979738</v>
      </c>
      <c r="M8" s="75">
        <v>1997709</v>
      </c>
      <c r="N8" s="102"/>
      <c r="O8" s="103"/>
      <c r="P8" s="9"/>
    </row>
    <row r="9" spans="2:18" x14ac:dyDescent="0.25">
      <c r="B9" s="23"/>
      <c r="C9" s="15" t="s">
        <v>4</v>
      </c>
      <c r="D9" s="17">
        <f>TRUNC(($R4*D8)+D7,0)</f>
        <v>100711</v>
      </c>
      <c r="E9" s="17">
        <f t="shared" ref="E9:M9" si="1">TRUNC(($R4*E8)+E7,0)</f>
        <v>99950</v>
      </c>
      <c r="F9" s="17">
        <f t="shared" si="1"/>
        <v>100897</v>
      </c>
      <c r="G9" s="17">
        <f t="shared" si="1"/>
        <v>100711</v>
      </c>
      <c r="H9" s="17">
        <f t="shared" si="1"/>
        <v>99950</v>
      </c>
      <c r="I9" s="17">
        <f t="shared" si="1"/>
        <v>99950</v>
      </c>
      <c r="J9" s="17">
        <f t="shared" si="1"/>
        <v>99950</v>
      </c>
      <c r="K9" s="17"/>
      <c r="L9" s="17">
        <f t="shared" si="1"/>
        <v>100711</v>
      </c>
      <c r="M9" s="76">
        <f t="shared" si="1"/>
        <v>99950</v>
      </c>
      <c r="N9" s="104"/>
      <c r="O9" s="48">
        <f>SMALL(D9:M9,1)</f>
        <v>99950</v>
      </c>
      <c r="P9" s="9">
        <v>99950</v>
      </c>
    </row>
    <row r="10" spans="2:18" x14ac:dyDescent="0.25">
      <c r="B10" s="24"/>
      <c r="C10" s="11" t="s">
        <v>3</v>
      </c>
      <c r="D10" s="12">
        <v>45</v>
      </c>
      <c r="E10" s="13">
        <v>153</v>
      </c>
      <c r="F10" s="13">
        <v>227</v>
      </c>
      <c r="G10" s="13">
        <v>106</v>
      </c>
      <c r="H10" s="13">
        <v>81</v>
      </c>
      <c r="I10" s="13">
        <v>68</v>
      </c>
      <c r="J10" s="13">
        <v>336</v>
      </c>
      <c r="K10" s="13"/>
      <c r="L10" s="13">
        <v>64</v>
      </c>
      <c r="M10" s="74">
        <v>47</v>
      </c>
      <c r="N10" s="108"/>
      <c r="O10" s="37"/>
      <c r="P10" s="37">
        <v>8</v>
      </c>
    </row>
    <row r="11" spans="2:18" x14ac:dyDescent="0.25">
      <c r="B11" s="25">
        <v>3</v>
      </c>
      <c r="C11" s="2" t="s">
        <v>1</v>
      </c>
      <c r="D11" s="1">
        <v>39592</v>
      </c>
      <c r="E11" s="5">
        <v>40186</v>
      </c>
      <c r="F11" s="5">
        <v>40485</v>
      </c>
      <c r="G11" s="5">
        <v>41642</v>
      </c>
      <c r="H11" s="5">
        <v>39239</v>
      </c>
      <c r="I11" s="5">
        <v>41442</v>
      </c>
      <c r="J11" s="5">
        <v>40186</v>
      </c>
      <c r="K11" s="5"/>
      <c r="L11" s="5">
        <v>42598</v>
      </c>
      <c r="M11" s="63">
        <v>41076</v>
      </c>
      <c r="N11" s="100" t="s">
        <v>22</v>
      </c>
      <c r="O11" s="69">
        <f>(O13-P13)/P13</f>
        <v>4.6706134273838018E-2</v>
      </c>
      <c r="P11" s="1"/>
    </row>
    <row r="12" spans="2:18" x14ac:dyDescent="0.25">
      <c r="B12" s="21"/>
      <c r="C12" s="2" t="s">
        <v>2</v>
      </c>
      <c r="D12" s="1">
        <v>2418439</v>
      </c>
      <c r="E12" s="5">
        <v>2450558</v>
      </c>
      <c r="F12" s="5">
        <v>2463632</v>
      </c>
      <c r="G12" s="5">
        <v>2427939</v>
      </c>
      <c r="H12" s="5">
        <v>2310511</v>
      </c>
      <c r="I12" s="5">
        <v>2361964</v>
      </c>
      <c r="J12" s="5">
        <v>2447558</v>
      </c>
      <c r="K12" s="5"/>
      <c r="L12" s="5">
        <v>2445195</v>
      </c>
      <c r="M12" s="63">
        <v>2415548</v>
      </c>
      <c r="N12" s="100"/>
      <c r="O12" s="105"/>
      <c r="P12" s="1"/>
    </row>
    <row r="13" spans="2:18" x14ac:dyDescent="0.25">
      <c r="B13" s="21"/>
      <c r="C13" s="14" t="s">
        <v>4</v>
      </c>
      <c r="D13" s="18">
        <f>TRUNC(($R4*D12)+D11,0)</f>
        <v>42010</v>
      </c>
      <c r="E13" s="18">
        <f t="shared" ref="E13:M13" si="2">TRUNC(($R4*E12)+E11,0)</f>
        <v>42636</v>
      </c>
      <c r="F13" s="18">
        <f t="shared" si="2"/>
        <v>42948</v>
      </c>
      <c r="G13" s="18">
        <f t="shared" si="2"/>
        <v>44069</v>
      </c>
      <c r="H13" s="18">
        <f t="shared" si="2"/>
        <v>41549</v>
      </c>
      <c r="I13" s="18">
        <f t="shared" si="2"/>
        <v>43803</v>
      </c>
      <c r="J13" s="18">
        <f t="shared" si="2"/>
        <v>42633</v>
      </c>
      <c r="K13" s="18"/>
      <c r="L13" s="18">
        <f t="shared" si="2"/>
        <v>45043</v>
      </c>
      <c r="M13" s="79">
        <f t="shared" si="2"/>
        <v>43491</v>
      </c>
      <c r="N13" s="101"/>
      <c r="O13" s="18">
        <f>SMALL(D13:M13,1)</f>
        <v>41549</v>
      </c>
      <c r="P13" s="1">
        <v>39695</v>
      </c>
    </row>
    <row r="14" spans="2:18" x14ac:dyDescent="0.25">
      <c r="B14" s="22"/>
      <c r="C14" s="3" t="s">
        <v>3</v>
      </c>
      <c r="D14" s="4">
        <v>19</v>
      </c>
      <c r="E14" s="6">
        <v>96</v>
      </c>
      <c r="F14" s="6">
        <v>53</v>
      </c>
      <c r="G14" s="6">
        <v>40</v>
      </c>
      <c r="H14" s="6">
        <v>26</v>
      </c>
      <c r="I14" s="6">
        <v>29</v>
      </c>
      <c r="J14" s="6">
        <v>330</v>
      </c>
      <c r="K14" s="6"/>
      <c r="L14" s="6">
        <v>24</v>
      </c>
      <c r="M14" s="71">
        <v>40</v>
      </c>
      <c r="N14" s="100"/>
      <c r="O14" s="33"/>
      <c r="P14" s="36">
        <v>15</v>
      </c>
    </row>
    <row r="15" spans="2:18" x14ac:dyDescent="0.25">
      <c r="B15" s="26">
        <v>4</v>
      </c>
      <c r="C15" s="8" t="s">
        <v>1</v>
      </c>
      <c r="D15" s="9">
        <v>129401</v>
      </c>
      <c r="E15" s="10">
        <v>132278</v>
      </c>
      <c r="F15" s="10">
        <v>127971</v>
      </c>
      <c r="G15" s="10">
        <v>127453</v>
      </c>
      <c r="H15" s="10">
        <v>126656</v>
      </c>
      <c r="I15" s="10">
        <v>133118</v>
      </c>
      <c r="J15" s="10">
        <v>125359</v>
      </c>
      <c r="K15" s="10"/>
      <c r="L15" s="10">
        <v>127612</v>
      </c>
      <c r="M15" s="75">
        <v>125359</v>
      </c>
      <c r="N15" s="107" t="s">
        <v>22</v>
      </c>
      <c r="O15" s="115">
        <f>(O17-P17)/P17</f>
        <v>1.4014484243491877E-3</v>
      </c>
      <c r="P15" s="9"/>
    </row>
    <row r="16" spans="2:18" x14ac:dyDescent="0.25">
      <c r="B16" s="23"/>
      <c r="C16" s="8" t="s">
        <v>2</v>
      </c>
      <c r="D16" s="9">
        <v>2424227</v>
      </c>
      <c r="E16" s="10">
        <v>2260304</v>
      </c>
      <c r="F16" s="10">
        <v>2590247</v>
      </c>
      <c r="G16" s="10">
        <v>2500479</v>
      </c>
      <c r="H16" s="10">
        <v>2567332</v>
      </c>
      <c r="I16" s="10">
        <v>2284619</v>
      </c>
      <c r="J16" s="10">
        <v>2554310</v>
      </c>
      <c r="K16" s="10"/>
      <c r="L16" s="10">
        <v>2520238</v>
      </c>
      <c r="M16" s="75">
        <v>2545735</v>
      </c>
      <c r="N16" s="102"/>
      <c r="O16" s="103"/>
      <c r="P16" s="9"/>
    </row>
    <row r="17" spans="2:16" x14ac:dyDescent="0.25">
      <c r="B17" s="23"/>
      <c r="C17" s="15" t="s">
        <v>4</v>
      </c>
      <c r="D17" s="17">
        <f>TRUNC(($R4*D16)+D15,0)</f>
        <v>131825</v>
      </c>
      <c r="E17" s="17">
        <f t="shared" ref="E17:M17" si="3">TRUNC(($R4*E16)+E15,0)</f>
        <v>134538</v>
      </c>
      <c r="F17" s="17">
        <f t="shared" si="3"/>
        <v>130561</v>
      </c>
      <c r="G17" s="17">
        <f t="shared" si="3"/>
        <v>129953</v>
      </c>
      <c r="H17" s="17">
        <f t="shared" si="3"/>
        <v>129223</v>
      </c>
      <c r="I17" s="17">
        <f t="shared" si="3"/>
        <v>135402</v>
      </c>
      <c r="J17" s="17">
        <f t="shared" si="3"/>
        <v>127913</v>
      </c>
      <c r="K17" s="17"/>
      <c r="L17" s="17">
        <f t="shared" si="3"/>
        <v>130132</v>
      </c>
      <c r="M17" s="76">
        <f t="shared" si="3"/>
        <v>127904</v>
      </c>
      <c r="N17" s="104"/>
      <c r="O17" s="17">
        <f>SMALL(D17:M17,1)</f>
        <v>127904</v>
      </c>
      <c r="P17" s="9">
        <v>127725</v>
      </c>
    </row>
    <row r="18" spans="2:16" x14ac:dyDescent="0.25">
      <c r="B18" s="24"/>
      <c r="C18" s="11" t="s">
        <v>3</v>
      </c>
      <c r="D18" s="12">
        <v>23</v>
      </c>
      <c r="E18" s="13">
        <v>96</v>
      </c>
      <c r="F18" s="13">
        <v>59</v>
      </c>
      <c r="G18" s="13">
        <v>69</v>
      </c>
      <c r="H18" s="13">
        <v>31</v>
      </c>
      <c r="I18" s="13">
        <v>23</v>
      </c>
      <c r="J18" s="13">
        <v>280</v>
      </c>
      <c r="K18" s="13"/>
      <c r="L18" s="13">
        <v>25</v>
      </c>
      <c r="M18" s="74">
        <v>64</v>
      </c>
      <c r="N18" s="108"/>
      <c r="O18" s="37"/>
      <c r="P18" s="37">
        <v>6</v>
      </c>
    </row>
    <row r="19" spans="2:16" x14ac:dyDescent="0.25">
      <c r="B19" s="25">
        <v>5</v>
      </c>
      <c r="C19" s="2" t="s">
        <v>1</v>
      </c>
      <c r="D19" s="1">
        <v>47393</v>
      </c>
      <c r="E19" s="5">
        <v>36375</v>
      </c>
      <c r="F19" s="5">
        <v>42462</v>
      </c>
      <c r="G19" s="5">
        <v>43786</v>
      </c>
      <c r="H19" s="5">
        <v>41486</v>
      </c>
      <c r="I19" s="5">
        <v>49029</v>
      </c>
      <c r="J19" s="5">
        <v>41998</v>
      </c>
      <c r="K19" s="5"/>
      <c r="L19" s="5">
        <v>47393</v>
      </c>
      <c r="M19" s="63">
        <v>50029</v>
      </c>
      <c r="N19" s="100" t="s">
        <v>22</v>
      </c>
      <c r="O19" s="69">
        <f>(O21-P21)/P21</f>
        <v>9.7640151301304129E-2</v>
      </c>
      <c r="P19" s="1"/>
    </row>
    <row r="20" spans="2:16" x14ac:dyDescent="0.25">
      <c r="B20" s="21"/>
      <c r="C20" s="2" t="s">
        <v>2</v>
      </c>
      <c r="D20" s="1">
        <v>2251096</v>
      </c>
      <c r="E20" s="5">
        <v>2510453</v>
      </c>
      <c r="F20" s="5">
        <v>2238815</v>
      </c>
      <c r="G20" s="5">
        <v>2361114</v>
      </c>
      <c r="H20" s="5">
        <v>2324414</v>
      </c>
      <c r="I20" s="5">
        <v>2288607</v>
      </c>
      <c r="J20" s="5">
        <v>2313451</v>
      </c>
      <c r="K20" s="5"/>
      <c r="L20" s="5">
        <v>2251096</v>
      </c>
      <c r="M20" s="63">
        <v>2155132</v>
      </c>
      <c r="N20" s="100"/>
      <c r="O20" s="105"/>
      <c r="P20" s="1"/>
    </row>
    <row r="21" spans="2:16" x14ac:dyDescent="0.25">
      <c r="B21" s="21"/>
      <c r="C21" s="14" t="s">
        <v>4</v>
      </c>
      <c r="D21" s="18">
        <f>TRUNC(($R4*D20)+D19,0)</f>
        <v>49644</v>
      </c>
      <c r="E21" s="18">
        <f t="shared" ref="E21:M21" si="4">TRUNC(($R4*E20)+E19,0)</f>
        <v>38885</v>
      </c>
      <c r="F21" s="18">
        <f t="shared" si="4"/>
        <v>44700</v>
      </c>
      <c r="G21" s="18">
        <f t="shared" si="4"/>
        <v>46147</v>
      </c>
      <c r="H21" s="18">
        <f t="shared" si="4"/>
        <v>43810</v>
      </c>
      <c r="I21" s="18">
        <f t="shared" si="4"/>
        <v>51317</v>
      </c>
      <c r="J21" s="18">
        <f t="shared" si="4"/>
        <v>44311</v>
      </c>
      <c r="K21" s="18"/>
      <c r="L21" s="18">
        <f t="shared" si="4"/>
        <v>49644</v>
      </c>
      <c r="M21" s="79">
        <f t="shared" si="4"/>
        <v>52184</v>
      </c>
      <c r="N21" s="101"/>
      <c r="O21" s="18">
        <f>SMALL(D21:M21,1)</f>
        <v>38885</v>
      </c>
      <c r="P21" s="1">
        <v>35426</v>
      </c>
    </row>
    <row r="22" spans="2:16" x14ac:dyDescent="0.25">
      <c r="B22" s="22"/>
      <c r="C22" s="3" t="s">
        <v>3</v>
      </c>
      <c r="D22" s="4">
        <v>21</v>
      </c>
      <c r="E22" s="6">
        <v>97</v>
      </c>
      <c r="F22" s="6">
        <v>64</v>
      </c>
      <c r="G22" s="6">
        <v>74</v>
      </c>
      <c r="H22" s="6">
        <v>37</v>
      </c>
      <c r="I22" s="6">
        <v>26</v>
      </c>
      <c r="J22" s="6">
        <v>248</v>
      </c>
      <c r="K22" s="6"/>
      <c r="L22" s="6">
        <v>23</v>
      </c>
      <c r="M22" s="71">
        <v>23</v>
      </c>
      <c r="N22" s="100"/>
      <c r="O22" s="33"/>
      <c r="P22" s="36">
        <v>15</v>
      </c>
    </row>
    <row r="23" spans="2:16" x14ac:dyDescent="0.25">
      <c r="B23" s="23">
        <v>6</v>
      </c>
      <c r="C23" s="8" t="s">
        <v>1</v>
      </c>
      <c r="D23" s="9">
        <v>67223</v>
      </c>
      <c r="E23" s="10">
        <v>68776</v>
      </c>
      <c r="F23" s="10">
        <v>71099</v>
      </c>
      <c r="G23" s="10">
        <v>68776</v>
      </c>
      <c r="H23" s="10">
        <v>80490</v>
      </c>
      <c r="I23" s="10">
        <v>77434</v>
      </c>
      <c r="J23" s="10">
        <v>70070</v>
      </c>
      <c r="K23" s="10"/>
      <c r="L23" s="10">
        <v>68776</v>
      </c>
      <c r="M23" s="75">
        <v>68776</v>
      </c>
      <c r="N23" s="107" t="s">
        <v>22</v>
      </c>
      <c r="O23" s="115">
        <f>(O25-P25)/P25</f>
        <v>4.0448730446780747E-2</v>
      </c>
      <c r="P23" s="9"/>
    </row>
    <row r="24" spans="2:16" x14ac:dyDescent="0.25">
      <c r="B24" s="23"/>
      <c r="C24" s="8" t="s">
        <v>2</v>
      </c>
      <c r="D24" s="9">
        <v>2151729</v>
      </c>
      <c r="E24" s="10">
        <v>2112307</v>
      </c>
      <c r="F24" s="10">
        <v>2086955</v>
      </c>
      <c r="G24" s="10">
        <v>2115307</v>
      </c>
      <c r="H24" s="10">
        <v>2372196</v>
      </c>
      <c r="I24" s="10">
        <v>2291315</v>
      </c>
      <c r="J24" s="10">
        <v>2342126</v>
      </c>
      <c r="K24" s="10"/>
      <c r="L24" s="10">
        <v>2118957</v>
      </c>
      <c r="M24" s="75">
        <v>2118332</v>
      </c>
      <c r="N24" s="102"/>
      <c r="O24" s="103"/>
      <c r="P24" s="9"/>
    </row>
    <row r="25" spans="2:16" x14ac:dyDescent="0.25">
      <c r="B25" s="23"/>
      <c r="C25" s="15" t="s">
        <v>4</v>
      </c>
      <c r="D25" s="17">
        <f>TRUNC(($R4*D24)+D23,0)</f>
        <v>69374</v>
      </c>
      <c r="E25" s="17">
        <f t="shared" ref="E25:M25" si="5">TRUNC(($R4*E24)+E23,0)</f>
        <v>70888</v>
      </c>
      <c r="F25" s="17">
        <f t="shared" si="5"/>
        <v>73185</v>
      </c>
      <c r="G25" s="17">
        <f t="shared" si="5"/>
        <v>70891</v>
      </c>
      <c r="H25" s="17">
        <f t="shared" si="5"/>
        <v>82862</v>
      </c>
      <c r="I25" s="17">
        <f t="shared" si="5"/>
        <v>79725</v>
      </c>
      <c r="J25" s="17">
        <f t="shared" si="5"/>
        <v>72412</v>
      </c>
      <c r="K25" s="17"/>
      <c r="L25" s="17">
        <f t="shared" si="5"/>
        <v>70894</v>
      </c>
      <c r="M25" s="76">
        <f t="shared" si="5"/>
        <v>70894</v>
      </c>
      <c r="N25" s="104"/>
      <c r="O25" s="17">
        <f>SMALL(D25:M25,1)</f>
        <v>69374</v>
      </c>
      <c r="P25" s="9">
        <v>66677</v>
      </c>
    </row>
    <row r="26" spans="2:16" x14ac:dyDescent="0.25">
      <c r="B26" s="24"/>
      <c r="C26" s="11" t="s">
        <v>3</v>
      </c>
      <c r="D26" s="12">
        <v>27</v>
      </c>
      <c r="E26" s="13">
        <v>198</v>
      </c>
      <c r="F26" s="13">
        <v>48</v>
      </c>
      <c r="G26" s="13">
        <v>111</v>
      </c>
      <c r="H26" s="13">
        <v>58</v>
      </c>
      <c r="I26" s="13">
        <v>56</v>
      </c>
      <c r="J26" s="13">
        <v>295</v>
      </c>
      <c r="K26" s="13"/>
      <c r="L26" s="13">
        <v>23</v>
      </c>
      <c r="M26" s="74">
        <v>21</v>
      </c>
      <c r="N26" s="108"/>
      <c r="O26" s="37"/>
      <c r="P26" s="37">
        <v>12</v>
      </c>
    </row>
    <row r="27" spans="2:16" x14ac:dyDescent="0.25">
      <c r="B27" s="25">
        <v>7</v>
      </c>
      <c r="C27" s="2" t="s">
        <v>1</v>
      </c>
      <c r="D27" s="1">
        <v>11207</v>
      </c>
      <c r="E27" s="5">
        <v>9553</v>
      </c>
      <c r="F27" s="5">
        <v>10728</v>
      </c>
      <c r="G27" s="5">
        <v>12174</v>
      </c>
      <c r="H27" s="5">
        <v>11167</v>
      </c>
      <c r="I27" s="5">
        <v>18875</v>
      </c>
      <c r="J27" s="5">
        <v>10728</v>
      </c>
      <c r="K27" s="5"/>
      <c r="L27" s="5">
        <v>14981</v>
      </c>
      <c r="M27" s="63">
        <v>12288</v>
      </c>
      <c r="N27" s="109" t="s">
        <v>22</v>
      </c>
      <c r="O27" s="114">
        <f>(O29-P29)/P29</f>
        <v>0.11042770628311885</v>
      </c>
      <c r="P27" s="1"/>
    </row>
    <row r="28" spans="2:16" x14ac:dyDescent="0.25">
      <c r="B28" s="21"/>
      <c r="C28" s="2" t="s">
        <v>2</v>
      </c>
      <c r="D28" s="1">
        <v>2194214</v>
      </c>
      <c r="E28" s="5">
        <v>2182510</v>
      </c>
      <c r="F28" s="5">
        <v>2176085</v>
      </c>
      <c r="G28" s="5">
        <v>2250206</v>
      </c>
      <c r="H28" s="5">
        <v>2422024</v>
      </c>
      <c r="I28" s="5">
        <v>1949582</v>
      </c>
      <c r="J28" s="5">
        <v>2171910</v>
      </c>
      <c r="K28" s="5"/>
      <c r="L28" s="5">
        <v>2461263</v>
      </c>
      <c r="M28" s="63">
        <v>2481245</v>
      </c>
      <c r="N28" s="100"/>
      <c r="O28" s="105"/>
      <c r="P28" s="1"/>
    </row>
    <row r="29" spans="2:16" x14ac:dyDescent="0.25">
      <c r="B29" s="21"/>
      <c r="C29" s="14" t="s">
        <v>4</v>
      </c>
      <c r="D29" s="18">
        <f>TRUNC(($R4*D28)+D27,0)</f>
        <v>13401</v>
      </c>
      <c r="E29" s="18">
        <f t="shared" ref="E29:M29" si="6">TRUNC(($R4*E28)+E27,0)</f>
        <v>11735</v>
      </c>
      <c r="F29" s="18">
        <f t="shared" si="6"/>
        <v>12904</v>
      </c>
      <c r="G29" s="18">
        <f t="shared" si="6"/>
        <v>14424</v>
      </c>
      <c r="H29" s="18">
        <f t="shared" si="6"/>
        <v>13589</v>
      </c>
      <c r="I29" s="18">
        <f t="shared" si="6"/>
        <v>20824</v>
      </c>
      <c r="J29" s="18">
        <f t="shared" si="6"/>
        <v>12899</v>
      </c>
      <c r="K29" s="18"/>
      <c r="L29" s="18">
        <f t="shared" si="6"/>
        <v>17442</v>
      </c>
      <c r="M29" s="79">
        <f t="shared" si="6"/>
        <v>14769</v>
      </c>
      <c r="N29" s="101"/>
      <c r="O29" s="18">
        <f>SMALL(D29:M29,1)</f>
        <v>11735</v>
      </c>
      <c r="P29" s="1">
        <v>10568</v>
      </c>
    </row>
    <row r="30" spans="2:16" x14ac:dyDescent="0.25">
      <c r="B30" s="22"/>
      <c r="C30" s="3" t="s">
        <v>3</v>
      </c>
      <c r="D30" s="4">
        <v>51</v>
      </c>
      <c r="E30" s="6">
        <v>108</v>
      </c>
      <c r="F30" s="6">
        <v>282</v>
      </c>
      <c r="G30" s="6">
        <v>60</v>
      </c>
      <c r="H30" s="6">
        <v>23</v>
      </c>
      <c r="I30" s="6">
        <v>38</v>
      </c>
      <c r="J30" s="6">
        <v>353</v>
      </c>
      <c r="K30" s="6"/>
      <c r="L30" s="6">
        <v>50</v>
      </c>
      <c r="M30" s="71">
        <v>22</v>
      </c>
      <c r="N30" s="110"/>
      <c r="O30" s="36"/>
      <c r="P30" s="116">
        <v>350</v>
      </c>
    </row>
    <row r="31" spans="2:16" x14ac:dyDescent="0.25">
      <c r="B31" s="26">
        <v>8</v>
      </c>
      <c r="C31" s="8" t="s">
        <v>1</v>
      </c>
      <c r="D31" s="9">
        <v>159699</v>
      </c>
      <c r="E31" s="10">
        <v>158786</v>
      </c>
      <c r="F31" s="10">
        <v>163028</v>
      </c>
      <c r="G31" s="10">
        <v>159699</v>
      </c>
      <c r="H31" s="10">
        <v>159699</v>
      </c>
      <c r="I31" s="10">
        <v>159699</v>
      </c>
      <c r="J31" s="10">
        <v>158786</v>
      </c>
      <c r="K31" s="10"/>
      <c r="L31" s="10">
        <v>163028</v>
      </c>
      <c r="M31" s="75">
        <v>163028</v>
      </c>
      <c r="N31" s="102" t="s">
        <v>22</v>
      </c>
      <c r="O31" s="113">
        <f>(O33-P33)/P33</f>
        <v>0</v>
      </c>
      <c r="P31" s="9"/>
    </row>
    <row r="32" spans="2:16" x14ac:dyDescent="0.25">
      <c r="B32" s="23"/>
      <c r="C32" s="8" t="s">
        <v>2</v>
      </c>
      <c r="D32" s="9">
        <v>2097226</v>
      </c>
      <c r="E32" s="10">
        <v>2125938</v>
      </c>
      <c r="F32" s="10">
        <v>2116630</v>
      </c>
      <c r="G32" s="10">
        <v>2097226</v>
      </c>
      <c r="H32" s="10">
        <v>2097226</v>
      </c>
      <c r="I32" s="10">
        <v>2097226</v>
      </c>
      <c r="J32" s="10">
        <v>2125938</v>
      </c>
      <c r="K32" s="10"/>
      <c r="L32" s="10">
        <v>2116630</v>
      </c>
      <c r="M32" s="75">
        <v>2116630</v>
      </c>
      <c r="N32" s="102"/>
      <c r="O32" s="103"/>
      <c r="P32" s="9"/>
    </row>
    <row r="33" spans="2:16" x14ac:dyDescent="0.25">
      <c r="B33" s="23"/>
      <c r="C33" s="15" t="s">
        <v>4</v>
      </c>
      <c r="D33" s="17">
        <f>TRUNC(($R4*D32)+D31,0)</f>
        <v>161796</v>
      </c>
      <c r="E33" s="17">
        <f>TRUNC(($R4*E32)+E31,0)</f>
        <v>160911</v>
      </c>
      <c r="F33" s="17">
        <f t="shared" ref="F33:M33" si="7">($R4*F32)+F31</f>
        <v>165144.63</v>
      </c>
      <c r="G33" s="17">
        <f t="shared" si="7"/>
        <v>161796.226</v>
      </c>
      <c r="H33" s="17">
        <f t="shared" si="7"/>
        <v>161796.226</v>
      </c>
      <c r="I33" s="17">
        <f t="shared" si="7"/>
        <v>161796.226</v>
      </c>
      <c r="J33" s="17">
        <f t="shared" si="7"/>
        <v>160911.93799999999</v>
      </c>
      <c r="K33" s="17"/>
      <c r="L33" s="17">
        <f t="shared" si="7"/>
        <v>165144.63</v>
      </c>
      <c r="M33" s="76">
        <f t="shared" si="7"/>
        <v>165144.63</v>
      </c>
      <c r="N33" s="104"/>
      <c r="O33" s="48">
        <f>SMALL(D33:M33,1)</f>
        <v>160911</v>
      </c>
      <c r="P33" s="9">
        <v>160911</v>
      </c>
    </row>
    <row r="34" spans="2:16" x14ac:dyDescent="0.25">
      <c r="B34" s="24"/>
      <c r="C34" s="11" t="s">
        <v>3</v>
      </c>
      <c r="D34" s="12">
        <v>54</v>
      </c>
      <c r="E34" s="13">
        <v>149</v>
      </c>
      <c r="F34" s="13">
        <v>100</v>
      </c>
      <c r="G34" s="13">
        <v>120</v>
      </c>
      <c r="H34" s="13">
        <v>36</v>
      </c>
      <c r="I34" s="13">
        <v>52</v>
      </c>
      <c r="J34" s="13">
        <v>369</v>
      </c>
      <c r="K34" s="13"/>
      <c r="L34" s="13">
        <v>39</v>
      </c>
      <c r="M34" s="74">
        <v>90</v>
      </c>
      <c r="N34" s="102"/>
      <c r="O34" s="34"/>
      <c r="P34" s="37">
        <v>4</v>
      </c>
    </row>
    <row r="35" spans="2:16" x14ac:dyDescent="0.25">
      <c r="B35" s="25">
        <v>9</v>
      </c>
      <c r="C35" s="2" t="s">
        <v>1</v>
      </c>
      <c r="D35" s="1">
        <v>18591</v>
      </c>
      <c r="E35" s="5">
        <v>17395</v>
      </c>
      <c r="F35" s="5">
        <v>18735</v>
      </c>
      <c r="G35" s="5">
        <v>16314</v>
      </c>
      <c r="H35" s="5">
        <v>14070</v>
      </c>
      <c r="I35" s="5">
        <v>22108</v>
      </c>
      <c r="J35" s="5">
        <v>13010</v>
      </c>
      <c r="K35" s="5"/>
      <c r="L35" s="5">
        <v>16602</v>
      </c>
      <c r="M35" s="63">
        <v>16246</v>
      </c>
      <c r="N35" s="109" t="s">
        <v>22</v>
      </c>
      <c r="O35" s="114">
        <f>(O37-P37)/P37</f>
        <v>9.7907467844115959E-3</v>
      </c>
      <c r="P35" s="1"/>
    </row>
    <row r="36" spans="2:16" x14ac:dyDescent="0.25">
      <c r="B36" s="21"/>
      <c r="C36" s="2" t="s">
        <v>2</v>
      </c>
      <c r="D36" s="1">
        <v>2576690</v>
      </c>
      <c r="E36" s="5">
        <v>2915269</v>
      </c>
      <c r="F36" s="5">
        <v>2745459</v>
      </c>
      <c r="G36" s="5">
        <v>2815263</v>
      </c>
      <c r="H36" s="5">
        <v>2785669</v>
      </c>
      <c r="I36" s="5">
        <v>2441957</v>
      </c>
      <c r="J36" s="5">
        <v>2770209</v>
      </c>
      <c r="K36" s="5"/>
      <c r="L36" s="5">
        <v>3037826</v>
      </c>
      <c r="M36" s="63">
        <v>2419345</v>
      </c>
      <c r="N36" s="100"/>
      <c r="O36" s="105"/>
      <c r="P36" s="1"/>
    </row>
    <row r="37" spans="2:16" x14ac:dyDescent="0.25">
      <c r="B37" s="21"/>
      <c r="C37" s="14" t="s">
        <v>4</v>
      </c>
      <c r="D37" s="18">
        <f>TRUNC(($R4*D36)+D35,0)</f>
        <v>21167</v>
      </c>
      <c r="E37" s="18">
        <f t="shared" ref="E37:M37" si="8">TRUNC(($R4*E36)+E35,0)</f>
        <v>20310</v>
      </c>
      <c r="F37" s="18">
        <f t="shared" si="8"/>
        <v>21480</v>
      </c>
      <c r="G37" s="18">
        <f t="shared" si="8"/>
        <v>19129</v>
      </c>
      <c r="H37" s="18">
        <f t="shared" si="8"/>
        <v>16855</v>
      </c>
      <c r="I37" s="18">
        <f t="shared" si="8"/>
        <v>24549</v>
      </c>
      <c r="J37" s="18">
        <f t="shared" si="8"/>
        <v>15780</v>
      </c>
      <c r="K37" s="18"/>
      <c r="L37" s="18">
        <f t="shared" si="8"/>
        <v>19639</v>
      </c>
      <c r="M37" s="79">
        <f t="shared" si="8"/>
        <v>18665</v>
      </c>
      <c r="N37" s="101"/>
      <c r="O37" s="18">
        <f>SMALL(D37:M37,1)</f>
        <v>15780</v>
      </c>
      <c r="P37" s="1">
        <v>15627</v>
      </c>
    </row>
    <row r="38" spans="2:16" x14ac:dyDescent="0.25">
      <c r="B38" s="22"/>
      <c r="C38" s="3" t="s">
        <v>3</v>
      </c>
      <c r="D38" s="4">
        <v>21</v>
      </c>
      <c r="E38" s="6">
        <v>92</v>
      </c>
      <c r="F38" s="6">
        <v>49</v>
      </c>
      <c r="G38" s="6">
        <v>176</v>
      </c>
      <c r="H38" s="6">
        <v>23</v>
      </c>
      <c r="I38" s="6">
        <v>23</v>
      </c>
      <c r="J38" s="6">
        <v>325</v>
      </c>
      <c r="K38" s="6"/>
      <c r="L38" s="6">
        <v>24</v>
      </c>
      <c r="M38" s="71">
        <v>63</v>
      </c>
      <c r="N38" s="110"/>
      <c r="O38" s="36"/>
      <c r="P38" s="36">
        <v>20</v>
      </c>
    </row>
    <row r="39" spans="2:16" x14ac:dyDescent="0.25">
      <c r="B39" s="26">
        <v>10</v>
      </c>
      <c r="C39" s="8" t="s">
        <v>1</v>
      </c>
      <c r="D39" s="9">
        <v>4383</v>
      </c>
      <c r="E39" s="10">
        <v>4066</v>
      </c>
      <c r="F39" s="10">
        <v>4839</v>
      </c>
      <c r="G39" s="10">
        <v>4315</v>
      </c>
      <c r="H39" s="10">
        <v>4315</v>
      </c>
      <c r="I39" s="10">
        <v>5284</v>
      </c>
      <c r="J39" s="10">
        <v>3841</v>
      </c>
      <c r="K39" s="10"/>
      <c r="L39" s="10">
        <v>4415</v>
      </c>
      <c r="M39" s="75">
        <v>4315</v>
      </c>
      <c r="N39" s="102" t="s">
        <v>22</v>
      </c>
      <c r="O39" s="113">
        <f>(O41-P41)/P41</f>
        <v>0.1126086185493882</v>
      </c>
      <c r="P39" s="9"/>
    </row>
    <row r="40" spans="2:16" x14ac:dyDescent="0.25">
      <c r="B40" s="23"/>
      <c r="C40" s="8" t="s">
        <v>2</v>
      </c>
      <c r="D40" s="9">
        <v>2409720</v>
      </c>
      <c r="E40" s="10">
        <v>2416953</v>
      </c>
      <c r="F40" s="10">
        <v>2508926</v>
      </c>
      <c r="G40" s="10">
        <v>2433027</v>
      </c>
      <c r="H40" s="10">
        <v>2411952</v>
      </c>
      <c r="I40" s="10">
        <v>2413271</v>
      </c>
      <c r="J40" s="10">
        <v>2433078</v>
      </c>
      <c r="K40" s="10"/>
      <c r="L40" s="10">
        <v>2428752</v>
      </c>
      <c r="M40" s="75">
        <v>2413727</v>
      </c>
      <c r="N40" s="102"/>
      <c r="O40" s="103"/>
      <c r="P40" s="9"/>
    </row>
    <row r="41" spans="2:16" x14ac:dyDescent="0.25">
      <c r="B41" s="23"/>
      <c r="C41" s="15" t="s">
        <v>4</v>
      </c>
      <c r="D41" s="17">
        <f>TRUNC(($R4*D40)+D39,0)</f>
        <v>6792</v>
      </c>
      <c r="E41" s="17">
        <f t="shared" ref="E41:M41" si="9">TRUNC(($R4*E40)+E39,0)</f>
        <v>6482</v>
      </c>
      <c r="F41" s="17">
        <f t="shared" si="9"/>
        <v>7347</v>
      </c>
      <c r="G41" s="17">
        <f t="shared" si="9"/>
        <v>6748</v>
      </c>
      <c r="H41" s="17">
        <f t="shared" si="9"/>
        <v>6726</v>
      </c>
      <c r="I41" s="17">
        <f t="shared" si="9"/>
        <v>7697</v>
      </c>
      <c r="J41" s="17">
        <f t="shared" si="9"/>
        <v>6274</v>
      </c>
      <c r="K41" s="17"/>
      <c r="L41" s="17">
        <f t="shared" si="9"/>
        <v>6843</v>
      </c>
      <c r="M41" s="76">
        <f t="shared" si="9"/>
        <v>6728</v>
      </c>
      <c r="N41" s="104"/>
      <c r="O41" s="17">
        <f>SMALL(D41:M41,1)</f>
        <v>6274</v>
      </c>
      <c r="P41" s="9">
        <v>5639</v>
      </c>
    </row>
    <row r="42" spans="2:16" x14ac:dyDescent="0.25">
      <c r="B42" s="27"/>
      <c r="C42" s="28" t="s">
        <v>3</v>
      </c>
      <c r="D42" s="29">
        <v>39</v>
      </c>
      <c r="E42" s="30">
        <v>93</v>
      </c>
      <c r="F42" s="30">
        <v>49</v>
      </c>
      <c r="G42" s="30">
        <v>136</v>
      </c>
      <c r="H42" s="30">
        <v>45</v>
      </c>
      <c r="I42" s="30">
        <v>62</v>
      </c>
      <c r="J42" s="30">
        <v>290</v>
      </c>
      <c r="K42" s="30"/>
      <c r="L42" s="30">
        <v>22</v>
      </c>
      <c r="M42" s="80">
        <v>40</v>
      </c>
      <c r="N42" s="106"/>
      <c r="O42" s="35"/>
      <c r="P42" s="29">
        <v>7</v>
      </c>
    </row>
  </sheetData>
  <mergeCells count="3">
    <mergeCell ref="B2:C2"/>
    <mergeCell ref="B1:C1"/>
    <mergeCell ref="N2:O2"/>
  </mergeCells>
  <conditionalFormatting sqref="E3:N3">
    <cfRule type="cellIs" dxfId="11" priority="13" operator="equal">
      <formula>999999</formula>
    </cfRule>
  </conditionalFormatting>
  <conditionalFormatting sqref="E7:N7">
    <cfRule type="cellIs" dxfId="10" priority="12" operator="equal">
      <formula>999999</formula>
    </cfRule>
  </conditionalFormatting>
  <conditionalFormatting sqref="E11:N11 E15:N15 E19:N19 E23:N23 E27:N27 E31:N31 E35:N35 E39:N39">
    <cfRule type="cellIs" dxfId="9" priority="11" operator="equal">
      <formula>999999</formula>
    </cfRule>
  </conditionalFormatting>
  <conditionalFormatting sqref="O5">
    <cfRule type="cellIs" dxfId="8" priority="1" operator="equal">
      <formula>$P$33</formula>
    </cfRule>
  </conditionalFormatting>
  <conditionalFormatting sqref="O9">
    <cfRule type="cellIs" dxfId="7" priority="2" operator="equal">
      <formula>$P$33</formula>
    </cfRule>
  </conditionalFormatting>
  <conditionalFormatting sqref="O13">
    <cfRule type="cellIs" dxfId="6" priority="3" operator="equal">
      <formula>$P$33</formula>
    </cfRule>
  </conditionalFormatting>
  <conditionalFormatting sqref="O17">
    <cfRule type="cellIs" dxfId="5" priority="4" operator="equal">
      <formula>$P$33</formula>
    </cfRule>
  </conditionalFormatting>
  <conditionalFormatting sqref="O21">
    <cfRule type="cellIs" dxfId="4" priority="5" operator="equal">
      <formula>$P$33</formula>
    </cfRule>
  </conditionalFormatting>
  <conditionalFormatting sqref="O25">
    <cfRule type="cellIs" dxfId="3" priority="6" operator="equal">
      <formula>$P$33</formula>
    </cfRule>
  </conditionalFormatting>
  <conditionalFormatting sqref="O29">
    <cfRule type="cellIs" dxfId="2" priority="7" operator="equal">
      <formula>$P$33</formula>
    </cfRule>
  </conditionalFormatting>
  <conditionalFormatting sqref="O37">
    <cfRule type="cellIs" dxfId="1" priority="9" operator="equal">
      <formula>$P$33</formula>
    </cfRule>
  </conditionalFormatting>
  <conditionalFormatting sqref="O41">
    <cfRule type="cellIs" dxfId="0" priority="8" operator="equal">
      <formula>$P$33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5X</vt:lpstr>
      <vt:lpstr>4x</vt:lpstr>
      <vt:lpstr>3x</vt:lpstr>
      <vt:lpstr>2x</vt:lpstr>
      <vt:lpstr>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</dc:creator>
  <cp:lastModifiedBy>Beto Luche</cp:lastModifiedBy>
  <dcterms:created xsi:type="dcterms:W3CDTF">2014-01-10T17:50:07Z</dcterms:created>
  <dcterms:modified xsi:type="dcterms:W3CDTF">2024-01-25T22:38:54Z</dcterms:modified>
</cp:coreProperties>
</file>